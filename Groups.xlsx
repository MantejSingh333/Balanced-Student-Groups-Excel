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te\OneDrive\Mantej\Other\"/>
    </mc:Choice>
  </mc:AlternateContent>
  <xr:revisionPtr revIDLastSave="0" documentId="13_ncr:1_{D5EC8C3E-14CC-44CE-AB0D-FF722C963E7D}" xr6:coauthVersionLast="47" xr6:coauthVersionMax="47" xr10:uidLastSave="{00000000-0000-0000-0000-000000000000}"/>
  <bookViews>
    <workbookView xWindow="-110" yWindow="-110" windowWidth="38620" windowHeight="21100" xr2:uid="{357CED68-60FD-4576-B424-A5FA990D1379}"/>
  </bookViews>
  <sheets>
    <sheet name="Intake 1" sheetId="1" r:id="rId1"/>
    <sheet name="Intak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12" i="1"/>
  <c r="E11" i="1"/>
  <c r="E10" i="1"/>
  <c r="E9" i="1"/>
  <c r="E6" i="1"/>
  <c r="E7" i="1"/>
  <c r="E8" i="1"/>
  <c r="E3" i="1"/>
  <c r="E4" i="1"/>
  <c r="E5" i="1"/>
  <c r="E13" i="1"/>
  <c r="R9" i="2"/>
  <c r="R10" i="2"/>
  <c r="R11" i="2"/>
  <c r="Q9" i="2"/>
  <c r="Q10" i="2"/>
  <c r="Q11" i="2"/>
  <c r="N9" i="2"/>
  <c r="N10" i="2"/>
  <c r="N11" i="2"/>
  <c r="M9" i="2"/>
  <c r="M10" i="2"/>
  <c r="M11" i="2"/>
  <c r="J9" i="2"/>
  <c r="J10" i="2"/>
  <c r="J11" i="2"/>
  <c r="I9" i="2"/>
  <c r="I10" i="2"/>
  <c r="I11" i="2"/>
  <c r="V3" i="2"/>
  <c r="V4" i="2"/>
  <c r="U3" i="2"/>
  <c r="U4" i="2"/>
  <c r="R3" i="2"/>
  <c r="R4" i="2"/>
  <c r="Q3" i="2"/>
  <c r="Q4" i="2"/>
  <c r="R8" i="2"/>
  <c r="Q8" i="2"/>
  <c r="Q12" i="2" s="1"/>
  <c r="N8" i="2"/>
  <c r="M8" i="2"/>
  <c r="J8" i="2"/>
  <c r="I8" i="2"/>
  <c r="V2" i="2"/>
  <c r="U2" i="2"/>
  <c r="R2" i="2"/>
  <c r="Q2" i="2"/>
  <c r="N2" i="2"/>
  <c r="N3" i="2"/>
  <c r="N4" i="2"/>
  <c r="M4" i="2"/>
  <c r="M3" i="2"/>
  <c r="M2" i="2"/>
  <c r="M5" i="2" s="1"/>
  <c r="J4" i="2"/>
  <c r="J2" i="2"/>
  <c r="I4" i="2"/>
  <c r="I2" i="2"/>
  <c r="J3" i="2"/>
  <c r="I3" i="2"/>
  <c r="E4" i="2"/>
  <c r="E2" i="2"/>
  <c r="E11" i="2"/>
  <c r="E3" i="2"/>
  <c r="E8" i="2"/>
  <c r="E14" i="2"/>
  <c r="E12" i="2"/>
  <c r="E5" i="2"/>
  <c r="E9" i="2"/>
  <c r="E10" i="2"/>
  <c r="E13" i="2"/>
  <c r="E6" i="2"/>
  <c r="E7" i="2"/>
  <c r="E15" i="2"/>
  <c r="V4" i="1"/>
  <c r="R11" i="1"/>
  <c r="N11" i="1"/>
  <c r="N4" i="1"/>
  <c r="J4" i="1"/>
  <c r="J11" i="1"/>
  <c r="R9" i="1"/>
  <c r="R10" i="1"/>
  <c r="N9" i="1"/>
  <c r="N10" i="1"/>
  <c r="J9" i="1"/>
  <c r="J10" i="1"/>
  <c r="R8" i="1"/>
  <c r="N8" i="1"/>
  <c r="M8" i="1"/>
  <c r="J8" i="1"/>
  <c r="V3" i="1"/>
  <c r="V2" i="1"/>
  <c r="R4" i="1"/>
  <c r="J3" i="1"/>
  <c r="J2" i="1"/>
  <c r="R3" i="1"/>
  <c r="N3" i="1"/>
  <c r="R2" i="1"/>
  <c r="N2" i="1"/>
  <c r="M9" i="1"/>
  <c r="Q3" i="1"/>
  <c r="I2" i="1"/>
  <c r="U5" i="2" l="1"/>
  <c r="Q5" i="2"/>
  <c r="M12" i="2"/>
  <c r="I12" i="2"/>
  <c r="I5" i="2"/>
  <c r="I8" i="1"/>
  <c r="Q2" i="1"/>
  <c r="M11" i="1"/>
  <c r="I4" i="1"/>
  <c r="U4" i="1"/>
  <c r="Q11" i="1"/>
  <c r="M10" i="1"/>
  <c r="I3" i="1"/>
  <c r="I10" i="1"/>
  <c r="M4" i="1"/>
  <c r="I11" i="1"/>
  <c r="Q4" i="1"/>
  <c r="Q10" i="1"/>
  <c r="U3" i="1"/>
  <c r="I9" i="1"/>
  <c r="M2" i="1"/>
  <c r="Q8" i="1"/>
  <c r="U2" i="1"/>
  <c r="Q9" i="1"/>
  <c r="M3" i="1"/>
  <c r="I5" i="1"/>
  <c r="M5" i="1" l="1"/>
  <c r="I12" i="1"/>
  <c r="M12" i="1"/>
  <c r="Q5" i="1"/>
  <c r="Q12" i="1"/>
  <c r="U5" i="1"/>
</calcChain>
</file>

<file path=xl/sharedStrings.xml><?xml version="1.0" encoding="utf-8"?>
<sst xmlns="http://schemas.openxmlformats.org/spreadsheetml/2006/main" count="88" uniqueCount="25">
  <si>
    <t>M1</t>
  </si>
  <si>
    <t>M2</t>
  </si>
  <si>
    <t>M3</t>
  </si>
  <si>
    <t>Total</t>
  </si>
  <si>
    <t>Ask Questions/Communicate</t>
  </si>
  <si>
    <t>Group 1</t>
  </si>
  <si>
    <t>Group 2</t>
  </si>
  <si>
    <t>Group 3</t>
  </si>
  <si>
    <t>Group 4</t>
  </si>
  <si>
    <t>Not Often</t>
  </si>
  <si>
    <t>Often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</si>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</sst>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C0E4F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B856-8B07-4FA6-8995-841D739F8EBA}">
  <dimension ref="A1:V15"/>
  <sheetViews>
    <sheetView tabSelected="1" workbookViewId="0">
      <selection activeCell="H13" sqref="H13"/>
    </sheetView>
  </sheetViews>
  <sheetFormatPr defaultRowHeight="15" customHeight="1" x14ac:dyDescent="0.35"/>
  <cols>
    <col min="1" max="1" width="27.1796875" customWidth="1"/>
    <col min="5" max="5" width="13.54296875" customWidth="1"/>
    <col min="6" max="6" width="25.81640625" customWidth="1"/>
    <col min="7" max="7" width="22.453125" customWidth="1"/>
    <col min="8" max="8" width="14.1796875" customWidth="1"/>
    <col min="9" max="9" width="7.453125" customWidth="1"/>
    <col min="10" max="10" width="10" customWidth="1"/>
    <col min="11" max="11" width="12.7265625" customWidth="1"/>
    <col min="12" max="12" width="16.453125" customWidth="1"/>
    <col min="13" max="13" width="7.453125" customWidth="1"/>
    <col min="14" max="14" width="10.26953125" customWidth="1"/>
    <col min="15" max="15" width="14.1796875" customWidth="1"/>
    <col min="16" max="16" width="17.1796875" customWidth="1"/>
    <col min="17" max="17" width="6" customWidth="1"/>
    <col min="18" max="18" width="10.1796875" customWidth="1"/>
    <col min="19" max="19" width="13.7265625" customWidth="1"/>
    <col min="20" max="20" width="16.1796875" customWidth="1"/>
    <col min="21" max="21" width="6.81640625" customWidth="1"/>
    <col min="22" max="22" width="12.1796875" customWidth="1"/>
  </cols>
  <sheetData>
    <row r="1" spans="1:22" ht="14.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L1" t="s">
        <v>6</v>
      </c>
      <c r="P1" t="s">
        <v>7</v>
      </c>
      <c r="T1" t="s">
        <v>8</v>
      </c>
    </row>
    <row r="2" spans="1:22" ht="14.5" x14ac:dyDescent="0.35">
      <c r="A2" s="1" t="s">
        <v>11</v>
      </c>
      <c r="B2">
        <v>3</v>
      </c>
      <c r="C2">
        <v>1</v>
      </c>
      <c r="D2">
        <v>0</v>
      </c>
      <c r="E2">
        <f t="shared" ref="E2:E13" si="0">33-(B2+C2+D2)</f>
        <v>29</v>
      </c>
      <c r="F2" t="s">
        <v>10</v>
      </c>
      <c r="I2" t="e">
        <f>VLOOKUP(H2,$A$1:$F$13,5,FALSE)</f>
        <v>#N/A</v>
      </c>
      <c r="J2" t="e">
        <f>VLOOKUP(H2,$A$1:$F$13,6,FALSE)</f>
        <v>#N/A</v>
      </c>
      <c r="M2" t="e">
        <f>VLOOKUP(L2,$A$1:$F$13,5,FALSE)</f>
        <v>#N/A</v>
      </c>
      <c r="N2" t="e">
        <f>VLOOKUP(L2,$A$1:$F$13,6,FALSE)</f>
        <v>#N/A</v>
      </c>
      <c r="Q2" t="e">
        <f>VLOOKUP(P2,$A$1:$F$13,5,FALSE)</f>
        <v>#N/A</v>
      </c>
      <c r="R2" t="e">
        <f>VLOOKUP(P2,$A$1:$F$13,6,FALSE)</f>
        <v>#N/A</v>
      </c>
      <c r="U2" t="e">
        <f>VLOOKUP(T2,$A$1:$F$13,5,FALSE)</f>
        <v>#N/A</v>
      </c>
      <c r="V2" t="e">
        <f>VLOOKUP(T2,$A$1:$F$13,6,FALSE)</f>
        <v>#N/A</v>
      </c>
    </row>
    <row r="3" spans="1:22" ht="14.5" x14ac:dyDescent="0.35">
      <c r="A3" s="1" t="s">
        <v>12</v>
      </c>
      <c r="B3">
        <v>4</v>
      </c>
      <c r="C3">
        <v>2</v>
      </c>
      <c r="D3">
        <v>0</v>
      </c>
      <c r="E3">
        <f t="shared" si="0"/>
        <v>27</v>
      </c>
      <c r="F3" t="s">
        <v>10</v>
      </c>
      <c r="I3" t="e">
        <f>VLOOKUP(H3,$A$1:$F$13,5,FALSE)</f>
        <v>#N/A</v>
      </c>
      <c r="J3" t="e">
        <f>VLOOKUP(H3,$A$1:$F$13,6,FALSE)</f>
        <v>#N/A</v>
      </c>
      <c r="M3" t="e">
        <f t="shared" ref="M3" si="1">VLOOKUP(L3,$A$1:$F$13,5,FALSE)</f>
        <v>#N/A</v>
      </c>
      <c r="N3" t="e">
        <f t="shared" ref="N3" si="2">VLOOKUP(L3,$A$1:$F$13,6,FALSE)</f>
        <v>#N/A</v>
      </c>
      <c r="Q3" t="e">
        <f t="shared" ref="Q3" si="3">VLOOKUP(P3,$A$1:$F$13,5,FALSE)</f>
        <v>#N/A</v>
      </c>
      <c r="R3" t="e">
        <f t="shared" ref="R3" si="4">VLOOKUP(P3,$A$1:$F$13,6,FALSE)</f>
        <v>#N/A</v>
      </c>
      <c r="U3" t="e">
        <f t="shared" ref="U3" si="5">VLOOKUP(T3,$A$1:$F$13,5,FALSE)</f>
        <v>#N/A</v>
      </c>
      <c r="V3" t="e">
        <f>VLOOKUP(T3,$A$1:$F$13,6,FALSE)</f>
        <v>#N/A</v>
      </c>
    </row>
    <row r="4" spans="1:22" ht="14.5" x14ac:dyDescent="0.35">
      <c r="A4" s="1" t="s">
        <v>13</v>
      </c>
      <c r="B4">
        <v>3</v>
      </c>
      <c r="C4">
        <v>2</v>
      </c>
      <c r="D4">
        <v>1</v>
      </c>
      <c r="E4">
        <f t="shared" si="0"/>
        <v>27</v>
      </c>
      <c r="F4" t="s">
        <v>10</v>
      </c>
      <c r="I4" t="e">
        <f>VLOOKUP(H4,$A$1:$F$13,5,FALSE)</f>
        <v>#N/A</v>
      </c>
      <c r="J4" t="e">
        <f>VLOOKUP(H4,$A$1:$F$13,6,FALSE)</f>
        <v>#N/A</v>
      </c>
      <c r="M4" t="e">
        <f>VLOOKUP(L4,$A$1:$F$13,5,FALSE)</f>
        <v>#N/A</v>
      </c>
      <c r="N4" t="e">
        <f>VLOOKUP(L4,$A$1:$F$13,6,FALSE)</f>
        <v>#N/A</v>
      </c>
      <c r="Q4" t="e">
        <f>VLOOKUP(P4,$A$1:$F$13,5,FALSE)</f>
        <v>#N/A</v>
      </c>
      <c r="R4" t="e">
        <f>VLOOKUP(P4,$A$1:$F$13,6,FALSE)</f>
        <v>#N/A</v>
      </c>
      <c r="U4" t="e">
        <f>VLOOKUP(T4,$A$1:$F$13,5,FALSE)</f>
        <v>#N/A</v>
      </c>
      <c r="V4" t="e">
        <f>VLOOKUP(T4,$A$1:$F$13,6,FALSE)</f>
        <v>#N/A</v>
      </c>
    </row>
    <row r="5" spans="1:22" ht="14.5" x14ac:dyDescent="0.35">
      <c r="A5" s="1" t="s">
        <v>14</v>
      </c>
      <c r="B5">
        <v>3</v>
      </c>
      <c r="C5">
        <v>1</v>
      </c>
      <c r="D5">
        <v>2</v>
      </c>
      <c r="E5">
        <f t="shared" si="0"/>
        <v>27</v>
      </c>
      <c r="F5" t="s">
        <v>10</v>
      </c>
      <c r="I5" t="e">
        <f>SUM(I2:I4)</f>
        <v>#N/A</v>
      </c>
      <c r="M5" t="e">
        <f>SUM(M2:M4)</f>
        <v>#N/A</v>
      </c>
      <c r="Q5" t="e">
        <f>SUM(Q2:Q4)</f>
        <v>#N/A</v>
      </c>
      <c r="U5" t="e">
        <f>SUM(U2:U4)</f>
        <v>#N/A</v>
      </c>
    </row>
    <row r="6" spans="1:22" ht="14.5" x14ac:dyDescent="0.35">
      <c r="A6" s="1" t="s">
        <v>15</v>
      </c>
      <c r="B6">
        <v>3</v>
      </c>
      <c r="C6">
        <v>5</v>
      </c>
      <c r="D6" s="3">
        <v>0</v>
      </c>
      <c r="E6">
        <f t="shared" si="0"/>
        <v>25</v>
      </c>
      <c r="F6" t="s">
        <v>9</v>
      </c>
    </row>
    <row r="7" spans="1:22" ht="14.5" x14ac:dyDescent="0.35">
      <c r="A7" s="1" t="s">
        <v>16</v>
      </c>
      <c r="B7">
        <v>2</v>
      </c>
      <c r="C7">
        <v>4</v>
      </c>
      <c r="D7">
        <v>2</v>
      </c>
      <c r="E7">
        <f t="shared" si="0"/>
        <v>25</v>
      </c>
      <c r="F7" t="s">
        <v>9</v>
      </c>
      <c r="H7" t="s">
        <v>5</v>
      </c>
      <c r="L7" t="s">
        <v>6</v>
      </c>
      <c r="P7" t="s">
        <v>7</v>
      </c>
    </row>
    <row r="8" spans="1:22" ht="14.5" x14ac:dyDescent="0.35">
      <c r="A8" s="1" t="s">
        <v>17</v>
      </c>
      <c r="B8">
        <v>2</v>
      </c>
      <c r="C8">
        <v>4</v>
      </c>
      <c r="D8">
        <v>2</v>
      </c>
      <c r="E8">
        <f t="shared" si="0"/>
        <v>25</v>
      </c>
      <c r="F8" t="s">
        <v>10</v>
      </c>
      <c r="H8" t="s">
        <v>22</v>
      </c>
      <c r="I8">
        <f>VLOOKUP(H8,$A$1:$F$13,5,FALSE)</f>
        <v>17</v>
      </c>
      <c r="J8" t="str">
        <f>VLOOKUP(H8,$A$1:$F$13,6,FALSE)</f>
        <v>Not Often</v>
      </c>
      <c r="L8" s="2" t="s">
        <v>20</v>
      </c>
      <c r="M8">
        <f>VLOOKUP(L8,$A$1:$F$13,5,FALSE)</f>
        <v>21</v>
      </c>
      <c r="N8" t="str">
        <f>VLOOKUP(L8,$A$1:$F$13,6,FALSE)</f>
        <v>Not Often</v>
      </c>
      <c r="P8" t="s">
        <v>21</v>
      </c>
      <c r="Q8">
        <f>VLOOKUP(P8,$A$1:$F$13,5,FALSE)</f>
        <v>20</v>
      </c>
      <c r="R8" t="str">
        <f>VLOOKUP(P8,$A$1:$F$13,6,FALSE)</f>
        <v>Not Often</v>
      </c>
    </row>
    <row r="9" spans="1:22" ht="14.5" x14ac:dyDescent="0.35">
      <c r="A9" s="1" t="s">
        <v>18</v>
      </c>
      <c r="B9">
        <v>4</v>
      </c>
      <c r="C9">
        <v>4</v>
      </c>
      <c r="D9">
        <v>1</v>
      </c>
      <c r="E9">
        <f t="shared" si="0"/>
        <v>24</v>
      </c>
      <c r="F9" t="s">
        <v>9</v>
      </c>
      <c r="H9" t="s">
        <v>16</v>
      </c>
      <c r="I9">
        <f t="shared" ref="I9:I11" si="6">VLOOKUP(H9,$A$1:$F$13,5,FALSE)</f>
        <v>25</v>
      </c>
      <c r="J9" t="str">
        <f t="shared" ref="J9:J10" si="7">VLOOKUP(H9,$A$1:$F$13,6,FALSE)</f>
        <v>Not Often</v>
      </c>
      <c r="L9" s="2" t="s">
        <v>19</v>
      </c>
      <c r="M9">
        <f t="shared" ref="M9:M10" si="8">VLOOKUP(L9,$A$1:$F$13,5,FALSE)</f>
        <v>22</v>
      </c>
      <c r="N9" t="str">
        <f t="shared" ref="N9:N10" si="9">VLOOKUP(L9,$A$1:$F$13,6,FALSE)</f>
        <v>Not Often</v>
      </c>
      <c r="P9" t="s">
        <v>17</v>
      </c>
      <c r="Q9">
        <f t="shared" ref="Q9:Q10" si="10">VLOOKUP(P9,$A$1:$F$13,5,FALSE)</f>
        <v>25</v>
      </c>
      <c r="R9" t="str">
        <f t="shared" ref="R9:R10" si="11">VLOOKUP(P9,$A$1:$F$13,6,FALSE)</f>
        <v>Often</v>
      </c>
    </row>
    <row r="10" spans="1:22" ht="14.5" x14ac:dyDescent="0.35">
      <c r="A10" s="1" t="s">
        <v>19</v>
      </c>
      <c r="B10">
        <v>6</v>
      </c>
      <c r="C10">
        <v>5</v>
      </c>
      <c r="D10">
        <v>0</v>
      </c>
      <c r="E10">
        <f t="shared" si="0"/>
        <v>22</v>
      </c>
      <c r="F10" t="s">
        <v>9</v>
      </c>
      <c r="H10" t="s">
        <v>18</v>
      </c>
      <c r="I10">
        <f t="shared" si="6"/>
        <v>24</v>
      </c>
      <c r="J10" t="str">
        <f t="shared" si="7"/>
        <v>Not Often</v>
      </c>
      <c r="L10" s="2" t="s">
        <v>12</v>
      </c>
      <c r="M10">
        <f t="shared" si="8"/>
        <v>27</v>
      </c>
      <c r="N10" t="str">
        <f t="shared" si="9"/>
        <v>Often</v>
      </c>
      <c r="P10" t="s">
        <v>13</v>
      </c>
      <c r="Q10">
        <f t="shared" si="10"/>
        <v>27</v>
      </c>
      <c r="R10" t="str">
        <f t="shared" si="11"/>
        <v>Often</v>
      </c>
    </row>
    <row r="11" spans="1:22" ht="14.5" x14ac:dyDescent="0.35">
      <c r="A11" s="1" t="s">
        <v>20</v>
      </c>
      <c r="B11">
        <v>1</v>
      </c>
      <c r="C11">
        <v>10</v>
      </c>
      <c r="D11" s="3">
        <v>1</v>
      </c>
      <c r="E11">
        <f t="shared" si="0"/>
        <v>21</v>
      </c>
      <c r="F11" t="s">
        <v>9</v>
      </c>
      <c r="H11" t="s">
        <v>11</v>
      </c>
      <c r="I11">
        <f t="shared" si="6"/>
        <v>29</v>
      </c>
      <c r="J11" t="str">
        <f>VLOOKUP(H11,$A$1:$F$13,6,FALSE)</f>
        <v>Often</v>
      </c>
      <c r="L11" s="2" t="s">
        <v>14</v>
      </c>
      <c r="M11">
        <f>VLOOKUP(L11,$A$1:$F$13,5,FALSE)</f>
        <v>27</v>
      </c>
      <c r="N11" t="str">
        <f>VLOOKUP(L11,$A$1:$F$13,6,FALSE)</f>
        <v>Often</v>
      </c>
      <c r="P11" t="s">
        <v>15</v>
      </c>
      <c r="Q11">
        <f>VLOOKUP(P11,$A$1:$F$13,5,FALSE)</f>
        <v>25</v>
      </c>
      <c r="R11" t="str">
        <f>VLOOKUP(P11,$A$1:$F$13,6,FALSE)</f>
        <v>Not Often</v>
      </c>
    </row>
    <row r="12" spans="1:22" ht="14.5" x14ac:dyDescent="0.35">
      <c r="A12" s="1" t="s">
        <v>21</v>
      </c>
      <c r="B12">
        <v>8</v>
      </c>
      <c r="C12">
        <v>3</v>
      </c>
      <c r="D12">
        <v>2</v>
      </c>
      <c r="E12">
        <f t="shared" si="0"/>
        <v>20</v>
      </c>
      <c r="F12" t="s">
        <v>9</v>
      </c>
      <c r="I12">
        <f>SUM(I8:I11)</f>
        <v>95</v>
      </c>
      <c r="M12">
        <f>SUM(M8:M11)</f>
        <v>97</v>
      </c>
      <c r="Q12">
        <f>SUM(Q8:Q11)</f>
        <v>97</v>
      </c>
    </row>
    <row r="13" spans="1:22" ht="14.5" x14ac:dyDescent="0.35">
      <c r="A13" s="1" t="s">
        <v>22</v>
      </c>
      <c r="B13">
        <v>5</v>
      </c>
      <c r="C13">
        <v>6</v>
      </c>
      <c r="D13">
        <v>5</v>
      </c>
      <c r="E13">
        <f t="shared" si="0"/>
        <v>17</v>
      </c>
      <c r="F13" t="s">
        <v>9</v>
      </c>
    </row>
    <row r="15" spans="1:22" ht="15" customHeight="1" x14ac:dyDescent="0.35">
      <c r="A15" s="3"/>
    </row>
  </sheetData>
  <sortState xmlns:xlrd2="http://schemas.microsoft.com/office/spreadsheetml/2017/richdata2" ref="A2:F13">
    <sortCondition descending="1" ref="E1:E13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5125-E926-4CC7-91E2-1AF071B736BD}">
  <dimension ref="A1:V15"/>
  <sheetViews>
    <sheetView workbookViewId="0">
      <selection activeCell="H14" sqref="H14"/>
    </sheetView>
  </sheetViews>
  <sheetFormatPr defaultRowHeight="15" customHeight="1" x14ac:dyDescent="0.35"/>
  <cols>
    <col min="1" max="1" width="27.1796875" customWidth="1"/>
    <col min="5" max="5" width="13.54296875" customWidth="1"/>
    <col min="6" max="6" width="25.81640625" customWidth="1"/>
    <col min="7" max="7" width="22.453125" customWidth="1"/>
    <col min="8" max="8" width="10.81640625" customWidth="1"/>
    <col min="9" max="9" width="7.453125" customWidth="1"/>
    <col min="10" max="10" width="10" customWidth="1"/>
    <col min="11" max="11" width="12.7265625" customWidth="1"/>
    <col min="12" max="12" width="16.453125" customWidth="1"/>
    <col min="13" max="13" width="7.453125" customWidth="1"/>
    <col min="14" max="14" width="10.26953125" customWidth="1"/>
    <col min="15" max="15" width="14.1796875" customWidth="1"/>
    <col min="16" max="16" width="17.1796875" customWidth="1"/>
    <col min="17" max="17" width="6" customWidth="1"/>
    <col min="18" max="18" width="10.1796875" customWidth="1"/>
    <col min="19" max="19" width="13.7265625" customWidth="1"/>
    <col min="20" max="20" width="16.1796875" customWidth="1"/>
    <col min="21" max="21" width="6.81640625" customWidth="1"/>
    <col min="22" max="22" width="12.1796875" customWidth="1"/>
  </cols>
  <sheetData>
    <row r="1" spans="1:22" ht="14.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L1" t="s">
        <v>6</v>
      </c>
      <c r="P1" t="s">
        <v>7</v>
      </c>
      <c r="T1" t="s">
        <v>8</v>
      </c>
    </row>
    <row r="2" spans="1:22" ht="14.5" x14ac:dyDescent="0.35">
      <c r="A2" s="1" t="s">
        <v>11</v>
      </c>
      <c r="B2">
        <v>1</v>
      </c>
      <c r="E2">
        <f t="shared" ref="E2:E15" si="0">33-(B2+C2+D2)</f>
        <v>32</v>
      </c>
      <c r="I2" t="e">
        <f>VLOOKUP(H2,$A$1:$F$15,5,FALSE)</f>
        <v>#N/A</v>
      </c>
      <c r="J2" t="e">
        <f>VLOOKUP(H2,$A$1:$F$15,6,FALSE)</f>
        <v>#N/A</v>
      </c>
      <c r="M2" t="e">
        <f>VLOOKUP(L2,$A$1:$F$15,5,FALSE)</f>
        <v>#N/A</v>
      </c>
      <c r="N2" t="e">
        <f>VLOOKUP(L2,$A$1:$F$15,6,FALSE)</f>
        <v>#N/A</v>
      </c>
      <c r="P2" t="s">
        <v>11</v>
      </c>
      <c r="Q2">
        <f>VLOOKUP(P2,$A$1:$F$15,5,FALSE)</f>
        <v>32</v>
      </c>
      <c r="R2">
        <f>VLOOKUP(P2,$A$1:$F$15,6,FALSE)</f>
        <v>0</v>
      </c>
      <c r="T2" t="s">
        <v>12</v>
      </c>
      <c r="U2">
        <f>VLOOKUP(T2,$A$1:$F$15,5,FALSE)</f>
        <v>32</v>
      </c>
      <c r="V2">
        <f>VLOOKUP(T2,$A$1:$F$15,6,FALSE)</f>
        <v>0</v>
      </c>
    </row>
    <row r="3" spans="1:22" ht="14.5" x14ac:dyDescent="0.35">
      <c r="A3" s="1" t="s">
        <v>12</v>
      </c>
      <c r="B3">
        <v>1</v>
      </c>
      <c r="D3" s="3"/>
      <c r="E3">
        <f t="shared" si="0"/>
        <v>32</v>
      </c>
      <c r="I3" t="e">
        <f>VLOOKUP(H3,$A$1:$F$15,5,FALSE)</f>
        <v>#N/A</v>
      </c>
      <c r="J3" t="e">
        <f t="shared" ref="J3" si="1">VLOOKUP(H3,$A$1:$F$15,6,FALSE)</f>
        <v>#N/A</v>
      </c>
      <c r="M3" t="e">
        <f t="shared" ref="M3" si="2">VLOOKUP(L3,$A$1:$F$15,5,FALSE)</f>
        <v>#N/A</v>
      </c>
      <c r="N3" t="e">
        <f t="shared" ref="N3:N4" si="3">VLOOKUP(L3,$A$1:$F$15,6,FALSE)</f>
        <v>#N/A</v>
      </c>
      <c r="P3" t="s">
        <v>13</v>
      </c>
      <c r="Q3">
        <f t="shared" ref="Q3:Q4" si="4">VLOOKUP(P3,$A$1:$F$15,5,FALSE)</f>
        <v>31</v>
      </c>
      <c r="R3">
        <f t="shared" ref="R3:R4" si="5">VLOOKUP(P3,$A$1:$F$15,6,FALSE)</f>
        <v>0</v>
      </c>
      <c r="T3" t="s">
        <v>14</v>
      </c>
      <c r="U3">
        <f t="shared" ref="U3:U4" si="6">VLOOKUP(T3,$A$1:$F$15,5,FALSE)</f>
        <v>31</v>
      </c>
      <c r="V3">
        <f t="shared" ref="V3:V4" si="7">VLOOKUP(T3,$A$1:$F$15,6,FALSE)</f>
        <v>0</v>
      </c>
    </row>
    <row r="4" spans="1:22" ht="14.5" x14ac:dyDescent="0.35">
      <c r="A4" s="1" t="s">
        <v>13</v>
      </c>
      <c r="B4">
        <v>2</v>
      </c>
      <c r="D4" s="3"/>
      <c r="E4">
        <f t="shared" si="0"/>
        <v>31</v>
      </c>
      <c r="I4" t="e">
        <f>VLOOKUP(H4,$A$1:$F$15,5,FALSE)</f>
        <v>#N/A</v>
      </c>
      <c r="J4" t="e">
        <f>VLOOKUP(H4,$A$1:$F$15,6,FALSE)</f>
        <v>#N/A</v>
      </c>
      <c r="M4" t="e">
        <f>VLOOKUP(L4,$A$1:$F$15,5,FALSE)</f>
        <v>#N/A</v>
      </c>
      <c r="N4" t="e">
        <f t="shared" si="3"/>
        <v>#N/A</v>
      </c>
      <c r="P4" t="s">
        <v>15</v>
      </c>
      <c r="Q4">
        <f t="shared" si="4"/>
        <v>30</v>
      </c>
      <c r="R4">
        <f t="shared" si="5"/>
        <v>0</v>
      </c>
      <c r="T4" t="s">
        <v>16</v>
      </c>
      <c r="U4">
        <f t="shared" si="6"/>
        <v>30</v>
      </c>
      <c r="V4">
        <f t="shared" si="7"/>
        <v>0</v>
      </c>
    </row>
    <row r="5" spans="1:22" ht="14.5" x14ac:dyDescent="0.35">
      <c r="A5" s="1" t="s">
        <v>14</v>
      </c>
      <c r="B5">
        <v>2</v>
      </c>
      <c r="E5">
        <f t="shared" si="0"/>
        <v>31</v>
      </c>
      <c r="I5" t="e">
        <f>SUM(I2:I4)</f>
        <v>#N/A</v>
      </c>
      <c r="M5" t="e">
        <f>SUM(M2:M4)</f>
        <v>#N/A</v>
      </c>
      <c r="Q5">
        <f>SUM(Q2:Q4)</f>
        <v>93</v>
      </c>
      <c r="U5">
        <f>SUM(U2:U4)</f>
        <v>93</v>
      </c>
    </row>
    <row r="6" spans="1:22" ht="14.5" x14ac:dyDescent="0.35">
      <c r="A6" s="1" t="s">
        <v>15</v>
      </c>
      <c r="B6">
        <v>3</v>
      </c>
      <c r="E6">
        <f t="shared" si="0"/>
        <v>30</v>
      </c>
    </row>
    <row r="7" spans="1:22" ht="14.5" x14ac:dyDescent="0.35">
      <c r="A7" s="1" t="s">
        <v>16</v>
      </c>
      <c r="B7">
        <v>3</v>
      </c>
      <c r="E7">
        <f t="shared" si="0"/>
        <v>30</v>
      </c>
      <c r="H7" t="s">
        <v>5</v>
      </c>
      <c r="L7" t="s">
        <v>6</v>
      </c>
      <c r="P7" t="s">
        <v>7</v>
      </c>
    </row>
    <row r="8" spans="1:22" ht="14.5" x14ac:dyDescent="0.35">
      <c r="A8" s="1" t="s">
        <v>17</v>
      </c>
      <c r="B8">
        <v>3</v>
      </c>
      <c r="E8">
        <f t="shared" si="0"/>
        <v>30</v>
      </c>
      <c r="H8" t="s">
        <v>17</v>
      </c>
      <c r="I8">
        <f>VLOOKUP(H8,$A$1:$F$15,5,FALSE)</f>
        <v>30</v>
      </c>
      <c r="J8">
        <f>VLOOKUP(H8,$A$1:$F$15,6,FALSE)</f>
        <v>0</v>
      </c>
      <c r="L8" s="2" t="s">
        <v>18</v>
      </c>
      <c r="M8">
        <f>VLOOKUP(L8,$A$1:$F$15,5,FALSE)</f>
        <v>30</v>
      </c>
      <c r="N8">
        <f>VLOOKUP(L8,$A$1:$F$15,6,FALSE)</f>
        <v>0</v>
      </c>
      <c r="Q8" t="e">
        <f>VLOOKUP(P8,$A$1:$F$15,5,FALSE)</f>
        <v>#N/A</v>
      </c>
      <c r="R8" t="e">
        <f>VLOOKUP(P8,$A$1:$F$15,6,FALSE)</f>
        <v>#N/A</v>
      </c>
    </row>
    <row r="9" spans="1:22" ht="14.5" x14ac:dyDescent="0.35">
      <c r="A9" s="1" t="s">
        <v>18</v>
      </c>
      <c r="B9">
        <v>3</v>
      </c>
      <c r="E9">
        <f t="shared" si="0"/>
        <v>30</v>
      </c>
      <c r="H9" t="s">
        <v>19</v>
      </c>
      <c r="I9">
        <f t="shared" ref="I9:I11" si="8">VLOOKUP(H9,$A$1:$F$15,5,FALSE)</f>
        <v>29</v>
      </c>
      <c r="J9">
        <f t="shared" ref="J9:J11" si="9">VLOOKUP(H9,$A$1:$F$15,6,FALSE)</f>
        <v>0</v>
      </c>
      <c r="L9" s="2" t="s">
        <v>20</v>
      </c>
      <c r="M9">
        <f t="shared" ref="M9:M11" si="10">VLOOKUP(L9,$A$1:$F$15,5,FALSE)</f>
        <v>29</v>
      </c>
      <c r="N9">
        <f t="shared" ref="N9:N11" si="11">VLOOKUP(L9,$A$1:$F$15,6,FALSE)</f>
        <v>0</v>
      </c>
      <c r="Q9" t="e">
        <f t="shared" ref="Q9:Q11" si="12">VLOOKUP(P9,$A$1:$F$15,5,FALSE)</f>
        <v>#N/A</v>
      </c>
      <c r="R9" t="e">
        <f t="shared" ref="R9:R11" si="13">VLOOKUP(P9,$A$1:$F$15,6,FALSE)</f>
        <v>#N/A</v>
      </c>
    </row>
    <row r="10" spans="1:22" ht="14.5" x14ac:dyDescent="0.35">
      <c r="A10" s="1" t="s">
        <v>19</v>
      </c>
      <c r="B10">
        <v>4</v>
      </c>
      <c r="E10">
        <f t="shared" si="0"/>
        <v>29</v>
      </c>
      <c r="H10" t="s">
        <v>21</v>
      </c>
      <c r="I10">
        <f t="shared" si="8"/>
        <v>29</v>
      </c>
      <c r="J10">
        <f t="shared" si="9"/>
        <v>0</v>
      </c>
      <c r="L10" s="2" t="s">
        <v>22</v>
      </c>
      <c r="M10">
        <f t="shared" si="10"/>
        <v>28</v>
      </c>
      <c r="N10">
        <f t="shared" si="11"/>
        <v>0</v>
      </c>
      <c r="Q10" t="e">
        <f t="shared" si="12"/>
        <v>#N/A</v>
      </c>
      <c r="R10" t="e">
        <f t="shared" si="13"/>
        <v>#N/A</v>
      </c>
    </row>
    <row r="11" spans="1:22" ht="14.5" x14ac:dyDescent="0.35">
      <c r="A11" s="1" t="s">
        <v>20</v>
      </c>
      <c r="B11">
        <v>4</v>
      </c>
      <c r="E11">
        <f t="shared" si="0"/>
        <v>29</v>
      </c>
      <c r="H11" t="s">
        <v>24</v>
      </c>
      <c r="I11">
        <f t="shared" si="8"/>
        <v>27</v>
      </c>
      <c r="J11">
        <f t="shared" si="9"/>
        <v>0</v>
      </c>
      <c r="L11" s="2" t="s">
        <v>23</v>
      </c>
      <c r="M11">
        <f t="shared" si="10"/>
        <v>28</v>
      </c>
      <c r="N11">
        <f t="shared" si="11"/>
        <v>0</v>
      </c>
      <c r="Q11" t="e">
        <f t="shared" si="12"/>
        <v>#N/A</v>
      </c>
      <c r="R11" t="e">
        <f t="shared" si="13"/>
        <v>#N/A</v>
      </c>
    </row>
    <row r="12" spans="1:22" ht="14.5" x14ac:dyDescent="0.35">
      <c r="A12" s="1" t="s">
        <v>21</v>
      </c>
      <c r="B12">
        <v>4</v>
      </c>
      <c r="E12">
        <f t="shared" si="0"/>
        <v>29</v>
      </c>
      <c r="I12">
        <f>SUM(I8:I11)</f>
        <v>115</v>
      </c>
      <c r="M12">
        <f>SUM(M8:M11)</f>
        <v>115</v>
      </c>
      <c r="Q12" t="e">
        <f>SUM(Q8:Q11)</f>
        <v>#N/A</v>
      </c>
    </row>
    <row r="13" spans="1:22" ht="14.5" x14ac:dyDescent="0.35">
      <c r="A13" s="1" t="s">
        <v>22</v>
      </c>
      <c r="B13">
        <v>5</v>
      </c>
      <c r="E13">
        <f t="shared" si="0"/>
        <v>28</v>
      </c>
    </row>
    <row r="14" spans="1:22" ht="15" customHeight="1" x14ac:dyDescent="0.35">
      <c r="A14" s="1" t="s">
        <v>23</v>
      </c>
      <c r="B14">
        <v>5</v>
      </c>
      <c r="E14">
        <f t="shared" si="0"/>
        <v>28</v>
      </c>
    </row>
    <row r="15" spans="1:22" ht="15" customHeight="1" x14ac:dyDescent="0.35">
      <c r="A15" s="1" t="s">
        <v>24</v>
      </c>
      <c r="B15">
        <v>6</v>
      </c>
      <c r="E15">
        <f t="shared" si="0"/>
        <v>27</v>
      </c>
    </row>
  </sheetData>
  <sortState xmlns:xlrd2="http://schemas.microsoft.com/office/spreadsheetml/2017/richdata2" ref="A2:F15">
    <sortCondition descending="1" ref="E2:E1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Intake 1</vt:lpstr>
      <vt:lpstr>Intake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Mantej Singh</dc:creator>
  <cp:keywords/>
  <dc:description/>
  <cp:lastModifiedBy>Mantej Singh</cp:lastModifiedBy>
  <cp:revision/>
  <dcterms:created xsi:type="dcterms:W3CDTF">2025-11-25T07:50:04Z</dcterms:created>
  <dcterms:modified xsi:type="dcterms:W3CDTF">2026-01-09T16:19:12Z</dcterms:modified>
  <cp:category/>
  <cp:contentStatus/>
</cp:coreProperties>
</file>