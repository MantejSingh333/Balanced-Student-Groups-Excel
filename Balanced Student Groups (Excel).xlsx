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nte\OneDrive\Data Analyst Portfolio\"/>
    </mc:Choice>
  </mc:AlternateContent>
  <xr:revisionPtr revIDLastSave="0" documentId="13_ncr:1_{2E6D82C7-D397-4205-8530-579983DE98E0}" xr6:coauthVersionLast="47" xr6:coauthVersionMax="47" xr10:uidLastSave="{00000000-0000-0000-0000-000000000000}"/>
  <bookViews>
    <workbookView xWindow="-110" yWindow="-110" windowWidth="38620" windowHeight="21100" xr2:uid="{357CED68-60FD-4576-B424-A5FA990D1379}"/>
  </bookViews>
  <sheets>
    <sheet name="Intake 1" sheetId="1" r:id="rId1"/>
    <sheet name="Intake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Q3" i="2" s="1"/>
  <c r="E12" i="2"/>
  <c r="N4" i="2" s="1"/>
  <c r="E13" i="2"/>
  <c r="H4" i="2" s="1"/>
  <c r="E11" i="2"/>
  <c r="H3" i="2" s="1"/>
  <c r="E12" i="1"/>
  <c r="E11" i="1"/>
  <c r="E10" i="1"/>
  <c r="E9" i="1"/>
  <c r="I10" i="1" s="1"/>
  <c r="E6" i="1"/>
  <c r="E7" i="1"/>
  <c r="E8" i="1"/>
  <c r="E3" i="1"/>
  <c r="E4" i="1"/>
  <c r="E5" i="1"/>
  <c r="E2" i="1"/>
  <c r="I11" i="1" s="1"/>
  <c r="E13" i="1"/>
  <c r="E4" i="2"/>
  <c r="N2" i="2" s="1"/>
  <c r="E3" i="2"/>
  <c r="K2" i="2" s="1"/>
  <c r="E16" i="2"/>
  <c r="K3" i="2" s="1"/>
  <c r="E2" i="2"/>
  <c r="H2" i="2" s="1"/>
  <c r="E7" i="2"/>
  <c r="T2" i="2" s="1"/>
  <c r="E9" i="2"/>
  <c r="N3" i="2" s="1"/>
  <c r="E6" i="2"/>
  <c r="Q2" i="2" s="1"/>
  <c r="E14" i="2"/>
  <c r="Q4" i="2" s="1"/>
  <c r="E15" i="2"/>
  <c r="T4" i="2" s="1"/>
  <c r="E8" i="2"/>
  <c r="K4" i="2" s="1"/>
  <c r="E10" i="2"/>
  <c r="T3" i="2" s="1"/>
  <c r="R11" i="1"/>
  <c r="N11" i="1"/>
  <c r="J11" i="1"/>
  <c r="R9" i="1"/>
  <c r="R10" i="1"/>
  <c r="N9" i="1"/>
  <c r="N10" i="1"/>
  <c r="J9" i="1"/>
  <c r="J10" i="1"/>
  <c r="R8" i="1"/>
  <c r="N8" i="1"/>
  <c r="M8" i="1"/>
  <c r="J8" i="1"/>
  <c r="M9" i="1"/>
  <c r="Q5" i="2" l="1"/>
  <c r="T5" i="2"/>
  <c r="K5" i="2"/>
  <c r="N5" i="2"/>
  <c r="H5" i="2"/>
  <c r="I8" i="1"/>
  <c r="M11" i="1"/>
  <c r="Q11" i="1"/>
  <c r="M10" i="1"/>
  <c r="Q10" i="1"/>
  <c r="I9" i="1"/>
  <c r="Q8" i="1"/>
  <c r="Q9" i="1"/>
  <c r="I12" i="1" l="1"/>
  <c r="M12" i="1"/>
  <c r="Q12" i="1"/>
</calcChain>
</file>

<file path=xl/sharedStrings.xml><?xml version="1.0" encoding="utf-8"?>
<sst xmlns="http://schemas.openxmlformats.org/spreadsheetml/2006/main" count="83" uniqueCount="27">
  <si>
    <t>M1</t>
  </si>
  <si>
    <t>M2</t>
  </si>
  <si>
    <t>M3</t>
  </si>
  <si>
    <t>Total</t>
  </si>
  <si>
    <t>Ask Questions/Communicate</t>
  </si>
  <si>
    <t>Often</t>
  </si>
  <si>
    <t>Not Often</t>
  </si>
  <si>
    <t>Group 1</t>
  </si>
  <si>
    <t>Group 2</t>
  </si>
  <si>
    <t>Group 3</t>
  </si>
  <si>
    <t>Group 4</t>
  </si>
  <si>
    <t>Group 5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</si>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</sst>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0" fillId="0" borderId="1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DB856-8B07-4FA6-8995-841D739F8EBA}">
  <dimension ref="A1:R15"/>
  <sheetViews>
    <sheetView tabSelected="1" workbookViewId="0">
      <selection activeCell="L14" sqref="L14"/>
    </sheetView>
  </sheetViews>
  <sheetFormatPr defaultRowHeight="15" customHeight="1" x14ac:dyDescent="0.35"/>
  <cols>
    <col min="1" max="1" width="27.1796875" customWidth="1"/>
    <col min="5" max="5" width="13.54296875" customWidth="1"/>
    <col min="6" max="6" width="25.81640625" customWidth="1"/>
    <col min="7" max="7" width="22.453125" customWidth="1"/>
    <col min="8" max="8" width="10.81640625" customWidth="1"/>
    <col min="9" max="9" width="7.453125" customWidth="1"/>
    <col min="10" max="10" width="10" customWidth="1"/>
    <col min="11" max="11" width="12.7265625" customWidth="1"/>
    <col min="12" max="12" width="16.453125" customWidth="1"/>
    <col min="13" max="13" width="7.453125" customWidth="1"/>
    <col min="14" max="14" width="10.26953125" customWidth="1"/>
    <col min="15" max="15" width="14.1796875" customWidth="1"/>
    <col min="16" max="16" width="17.1796875" customWidth="1"/>
    <col min="17" max="17" width="6" customWidth="1"/>
    <col min="18" max="18" width="10.1796875" customWidth="1"/>
    <col min="19" max="19" width="13.7265625" customWidth="1"/>
    <col min="20" max="20" width="16.1796875" customWidth="1"/>
    <col min="21" max="21" width="6.81640625" customWidth="1"/>
    <col min="22" max="22" width="12.1796875" customWidth="1"/>
  </cols>
  <sheetData>
    <row r="1" spans="1:18" ht="14.5" x14ac:dyDescent="0.3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18" ht="14.5" x14ac:dyDescent="0.35">
      <c r="A2" s="3" t="s">
        <v>12</v>
      </c>
      <c r="B2" s="2">
        <v>3</v>
      </c>
      <c r="C2" s="2">
        <v>1</v>
      </c>
      <c r="D2" s="2">
        <v>0</v>
      </c>
      <c r="E2" s="2">
        <f t="shared" ref="E2:E13" si="0">33-(B2+C2+D2)</f>
        <v>29</v>
      </c>
      <c r="F2" s="2" t="s">
        <v>5</v>
      </c>
    </row>
    <row r="3" spans="1:18" ht="14.5" x14ac:dyDescent="0.35">
      <c r="A3" s="4" t="s">
        <v>13</v>
      </c>
      <c r="B3" s="2">
        <v>4</v>
      </c>
      <c r="C3" s="2">
        <v>2</v>
      </c>
      <c r="D3" s="2">
        <v>0</v>
      </c>
      <c r="E3" s="2">
        <f t="shared" si="0"/>
        <v>27</v>
      </c>
      <c r="F3" s="2" t="s">
        <v>5</v>
      </c>
    </row>
    <row r="4" spans="1:18" ht="14.5" x14ac:dyDescent="0.35">
      <c r="A4" s="3" t="s">
        <v>14</v>
      </c>
      <c r="B4" s="2">
        <v>3</v>
      </c>
      <c r="C4" s="2">
        <v>2</v>
      </c>
      <c r="D4" s="2">
        <v>1</v>
      </c>
      <c r="E4" s="2">
        <f t="shared" si="0"/>
        <v>27</v>
      </c>
      <c r="F4" s="2" t="s">
        <v>5</v>
      </c>
      <c r="P4" s="1"/>
    </row>
    <row r="5" spans="1:18" ht="14.5" x14ac:dyDescent="0.35">
      <c r="A5" s="3" t="s">
        <v>15</v>
      </c>
      <c r="B5" s="2">
        <v>3</v>
      </c>
      <c r="C5" s="2">
        <v>1</v>
      </c>
      <c r="D5" s="2">
        <v>2</v>
      </c>
      <c r="E5" s="2">
        <f t="shared" si="0"/>
        <v>27</v>
      </c>
      <c r="F5" s="2" t="s">
        <v>5</v>
      </c>
    </row>
    <row r="6" spans="1:18" ht="14.5" x14ac:dyDescent="0.35">
      <c r="A6" s="3" t="s">
        <v>16</v>
      </c>
      <c r="B6" s="2">
        <v>3</v>
      </c>
      <c r="C6" s="2">
        <v>5</v>
      </c>
      <c r="D6" s="5">
        <v>0</v>
      </c>
      <c r="E6" s="2">
        <f t="shared" si="0"/>
        <v>25</v>
      </c>
      <c r="F6" s="2" t="s">
        <v>6</v>
      </c>
    </row>
    <row r="7" spans="1:18" ht="14.5" x14ac:dyDescent="0.35">
      <c r="A7" s="3" t="s">
        <v>17</v>
      </c>
      <c r="B7" s="2">
        <v>2</v>
      </c>
      <c r="C7" s="2">
        <v>4</v>
      </c>
      <c r="D7" s="2">
        <v>2</v>
      </c>
      <c r="E7" s="2">
        <f t="shared" si="0"/>
        <v>25</v>
      </c>
      <c r="F7" s="2" t="s">
        <v>6</v>
      </c>
      <c r="H7" s="2" t="s">
        <v>7</v>
      </c>
      <c r="I7" s="2"/>
      <c r="J7" s="2"/>
      <c r="L7" s="2" t="s">
        <v>8</v>
      </c>
      <c r="M7" s="2"/>
      <c r="N7" s="2"/>
      <c r="P7" s="2" t="s">
        <v>9</v>
      </c>
      <c r="Q7" s="2"/>
      <c r="R7" s="2"/>
    </row>
    <row r="8" spans="1:18" ht="14.5" x14ac:dyDescent="0.35">
      <c r="A8" s="4" t="s">
        <v>18</v>
      </c>
      <c r="B8" s="2">
        <v>2</v>
      </c>
      <c r="C8" s="2">
        <v>4</v>
      </c>
      <c r="D8" s="2">
        <v>2</v>
      </c>
      <c r="E8" s="2">
        <f t="shared" si="0"/>
        <v>25</v>
      </c>
      <c r="F8" s="2" t="s">
        <v>5</v>
      </c>
      <c r="H8" s="2" t="s">
        <v>12</v>
      </c>
      <c r="I8" s="2">
        <f>VLOOKUP(H8,$A$1:$F$13,5,FALSE)</f>
        <v>29</v>
      </c>
      <c r="J8" s="2" t="str">
        <f>VLOOKUP(H8,$A$1:$F$13,6,FALSE)</f>
        <v>Often</v>
      </c>
      <c r="L8" s="7" t="s">
        <v>13</v>
      </c>
      <c r="M8" s="2">
        <f>VLOOKUP(L8,$A$1:$F$13,5,FALSE)</f>
        <v>27</v>
      </c>
      <c r="N8" s="2" t="str">
        <f>VLOOKUP(L8,$A$1:$F$13,6,FALSE)</f>
        <v>Often</v>
      </c>
      <c r="P8" s="2" t="s">
        <v>14</v>
      </c>
      <c r="Q8" s="2">
        <f>VLOOKUP(P8,$A$1:$F$13,5,FALSE)</f>
        <v>27</v>
      </c>
      <c r="R8" s="2" t="str">
        <f>VLOOKUP(P8,$A$1:$F$13,6,FALSE)</f>
        <v>Often</v>
      </c>
    </row>
    <row r="9" spans="1:18" ht="14.5" x14ac:dyDescent="0.35">
      <c r="A9" s="4" t="s">
        <v>19</v>
      </c>
      <c r="B9" s="2">
        <v>4</v>
      </c>
      <c r="C9" s="2">
        <v>4</v>
      </c>
      <c r="D9" s="2">
        <v>1</v>
      </c>
      <c r="E9" s="2">
        <f t="shared" si="0"/>
        <v>24</v>
      </c>
      <c r="F9" s="2" t="s">
        <v>6</v>
      </c>
      <c r="H9" s="2" t="s">
        <v>17</v>
      </c>
      <c r="I9" s="2">
        <f t="shared" ref="I9" si="1">VLOOKUP(H9,$A$1:$F$13,5,FALSE)</f>
        <v>25</v>
      </c>
      <c r="J9" s="2" t="str">
        <f t="shared" ref="J9:J10" si="2">VLOOKUP(H9,$A$1:$F$13,6,FALSE)</f>
        <v>Not Often</v>
      </c>
      <c r="L9" s="2" t="s">
        <v>15</v>
      </c>
      <c r="M9" s="2">
        <f t="shared" ref="M9:M10" si="3">VLOOKUP(L9,$A$1:$F$13,5,FALSE)</f>
        <v>27</v>
      </c>
      <c r="N9" s="2" t="str">
        <f t="shared" ref="N9:N10" si="4">VLOOKUP(L9,$A$1:$F$13,6,FALSE)</f>
        <v>Often</v>
      </c>
      <c r="P9" s="2" t="s">
        <v>16</v>
      </c>
      <c r="Q9" s="2">
        <f t="shared" ref="Q9:Q10" si="5">VLOOKUP(P9,$A$1:$F$13,5,FALSE)</f>
        <v>25</v>
      </c>
      <c r="R9" s="2" t="str">
        <f t="shared" ref="R9:R10" si="6">VLOOKUP(P9,$A$1:$F$13,6,FALSE)</f>
        <v>Not Often</v>
      </c>
    </row>
    <row r="10" spans="1:18" ht="14.5" x14ac:dyDescent="0.35">
      <c r="A10" s="4" t="s">
        <v>20</v>
      </c>
      <c r="B10" s="2">
        <v>6</v>
      </c>
      <c r="C10" s="2">
        <v>5</v>
      </c>
      <c r="D10" s="2">
        <v>0</v>
      </c>
      <c r="E10" s="2">
        <f t="shared" si="0"/>
        <v>22</v>
      </c>
      <c r="F10" s="2" t="s">
        <v>6</v>
      </c>
      <c r="H10" s="2" t="s">
        <v>19</v>
      </c>
      <c r="I10" s="2">
        <f>VLOOKUP(H10,$A$1:$F$13,5,FALSE)</f>
        <v>24</v>
      </c>
      <c r="J10" s="2" t="str">
        <f t="shared" si="2"/>
        <v>Not Often</v>
      </c>
      <c r="L10" s="2" t="s">
        <v>20</v>
      </c>
      <c r="M10" s="2">
        <f t="shared" si="3"/>
        <v>22</v>
      </c>
      <c r="N10" s="2" t="str">
        <f t="shared" si="4"/>
        <v>Not Often</v>
      </c>
      <c r="P10" s="2" t="s">
        <v>18</v>
      </c>
      <c r="Q10" s="2">
        <f t="shared" si="5"/>
        <v>25</v>
      </c>
      <c r="R10" s="2" t="str">
        <f t="shared" si="6"/>
        <v>Often</v>
      </c>
    </row>
    <row r="11" spans="1:18" ht="14.5" x14ac:dyDescent="0.35">
      <c r="A11" s="3" t="s">
        <v>21</v>
      </c>
      <c r="B11" s="2">
        <v>1</v>
      </c>
      <c r="C11" s="2">
        <v>10</v>
      </c>
      <c r="D11" s="5">
        <v>1</v>
      </c>
      <c r="E11" s="2">
        <f t="shared" si="0"/>
        <v>21</v>
      </c>
      <c r="F11" s="2" t="s">
        <v>6</v>
      </c>
      <c r="H11" s="2" t="s">
        <v>21</v>
      </c>
      <c r="I11" s="2">
        <f>VLOOKUP(H11,$A$1:$F$13,5,FALSE)</f>
        <v>21</v>
      </c>
      <c r="J11" s="2" t="str">
        <f>VLOOKUP(H11,$A$1:$F$13,6,FALSE)</f>
        <v>Not Often</v>
      </c>
      <c r="L11" s="2" t="s">
        <v>23</v>
      </c>
      <c r="M11" s="2">
        <f>VLOOKUP(L11,$A$1:$F$13,5,FALSE)</f>
        <v>17</v>
      </c>
      <c r="N11" s="2" t="str">
        <f>VLOOKUP(L11,$A$1:$F$13,6,FALSE)</f>
        <v>Not Often</v>
      </c>
      <c r="P11" s="2" t="s">
        <v>22</v>
      </c>
      <c r="Q11" s="2">
        <f>VLOOKUP(P11,$A$1:$F$13,5,FALSE)</f>
        <v>20</v>
      </c>
      <c r="R11" s="2" t="str">
        <f>VLOOKUP(P11,$A$1:$F$13,6,FALSE)</f>
        <v>Not Often</v>
      </c>
    </row>
    <row r="12" spans="1:18" ht="14.5" x14ac:dyDescent="0.35">
      <c r="A12" s="3" t="s">
        <v>22</v>
      </c>
      <c r="B12" s="2">
        <v>8</v>
      </c>
      <c r="C12" s="2">
        <v>3</v>
      </c>
      <c r="D12" s="2">
        <v>2</v>
      </c>
      <c r="E12" s="2">
        <f t="shared" si="0"/>
        <v>20</v>
      </c>
      <c r="F12" s="2" t="s">
        <v>6</v>
      </c>
      <c r="H12" s="2"/>
      <c r="I12" s="2">
        <f>SUM(I8:I11)</f>
        <v>99</v>
      </c>
      <c r="J12" s="2"/>
      <c r="L12" s="2"/>
      <c r="M12" s="2">
        <f>SUM(M8:M11)</f>
        <v>93</v>
      </c>
      <c r="N12" s="2"/>
      <c r="P12" s="2"/>
      <c r="Q12" s="2">
        <f>SUM(Q8:Q11)</f>
        <v>97</v>
      </c>
      <c r="R12" s="2"/>
    </row>
    <row r="13" spans="1:18" ht="14.5" x14ac:dyDescent="0.35">
      <c r="A13" s="4" t="s">
        <v>23</v>
      </c>
      <c r="B13" s="2">
        <v>5</v>
      </c>
      <c r="C13" s="2">
        <v>6</v>
      </c>
      <c r="D13" s="2">
        <v>5</v>
      </c>
      <c r="E13" s="2">
        <f t="shared" si="0"/>
        <v>17</v>
      </c>
      <c r="F13" s="2" t="s">
        <v>6</v>
      </c>
    </row>
    <row r="14" spans="1:18" ht="15" customHeight="1" x14ac:dyDescent="0.35">
      <c r="A14" s="2"/>
      <c r="B14" s="2"/>
      <c r="C14" s="2"/>
      <c r="D14" s="2"/>
      <c r="E14" s="2"/>
      <c r="F14" s="2"/>
    </row>
    <row r="15" spans="1:18" ht="15" customHeight="1" x14ac:dyDescent="0.35">
      <c r="A15" s="5"/>
      <c r="B15" s="2"/>
      <c r="C15" s="2"/>
      <c r="D15" s="2"/>
      <c r="E15" s="2"/>
      <c r="F15" s="2"/>
    </row>
  </sheetData>
  <sortState xmlns:xlrd2="http://schemas.microsoft.com/office/spreadsheetml/2017/richdata2" ref="A2:F13">
    <sortCondition descending="1" ref="E2:E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B5125-E926-4CC7-91E2-1AF071B736BD}">
  <dimension ref="A1:T16"/>
  <sheetViews>
    <sheetView workbookViewId="0">
      <selection activeCell="G13" sqref="G13"/>
    </sheetView>
  </sheetViews>
  <sheetFormatPr defaultRowHeight="15" customHeight="1" x14ac:dyDescent="0.35"/>
  <cols>
    <col min="1" max="1" width="27.1796875" customWidth="1"/>
    <col min="5" max="5" width="13.54296875" customWidth="1"/>
    <col min="6" max="6" width="9.26953125" customWidth="1"/>
    <col min="7" max="7" width="11.453125" customWidth="1"/>
    <col min="8" max="8" width="7.453125" customWidth="1"/>
    <col min="9" max="9" width="8.26953125" customWidth="1"/>
    <col min="10" max="10" width="16.453125" customWidth="1"/>
    <col min="11" max="11" width="7.453125" customWidth="1"/>
    <col min="12" max="12" width="6.7265625" customWidth="1"/>
    <col min="13" max="13" width="12.1796875" customWidth="1"/>
    <col min="14" max="14" width="6" customWidth="1"/>
    <col min="15" max="15" width="8.26953125" customWidth="1"/>
    <col min="16" max="16" width="16.1796875" customWidth="1"/>
    <col min="17" max="17" width="6.81640625" customWidth="1"/>
    <col min="18" max="18" width="7.54296875" customWidth="1"/>
    <col min="19" max="19" width="15.26953125" customWidth="1"/>
    <col min="20" max="21" width="8.453125" customWidth="1"/>
  </cols>
  <sheetData>
    <row r="1" spans="1:20" ht="14.5" x14ac:dyDescent="0.35">
      <c r="A1" s="2"/>
      <c r="B1" s="2" t="s">
        <v>0</v>
      </c>
      <c r="C1" s="2" t="s">
        <v>1</v>
      </c>
      <c r="D1" s="2" t="s">
        <v>2</v>
      </c>
      <c r="E1" s="2" t="s">
        <v>3</v>
      </c>
      <c r="G1" s="2" t="s">
        <v>7</v>
      </c>
      <c r="H1" s="2"/>
      <c r="J1" s="2" t="s">
        <v>8</v>
      </c>
      <c r="K1" s="2"/>
      <c r="M1" s="2" t="s">
        <v>9</v>
      </c>
      <c r="N1" s="2"/>
      <c r="P1" s="2" t="s">
        <v>10</v>
      </c>
      <c r="Q1" s="2"/>
      <c r="S1" s="2" t="s">
        <v>11</v>
      </c>
      <c r="T1" s="2"/>
    </row>
    <row r="2" spans="1:20" ht="14.5" x14ac:dyDescent="0.35">
      <c r="A2" s="3" t="s">
        <v>12</v>
      </c>
      <c r="B2" s="2">
        <v>1</v>
      </c>
      <c r="C2" s="2">
        <v>0</v>
      </c>
      <c r="D2" s="5">
        <v>1</v>
      </c>
      <c r="E2" s="2">
        <f t="shared" ref="E2:E12" si="0">33-(B2+C2+D2)</f>
        <v>31</v>
      </c>
      <c r="G2" s="2" t="s">
        <v>12</v>
      </c>
      <c r="H2" s="2">
        <f>VLOOKUP(G2,$A$1:$E$16,5,FALSE)</f>
        <v>31</v>
      </c>
      <c r="J2" s="2" t="s">
        <v>13</v>
      </c>
      <c r="K2" s="2">
        <f>VLOOKUP(J2,$A$1:$E$16,5,FALSE)</f>
        <v>29</v>
      </c>
      <c r="M2" s="2" t="s">
        <v>14</v>
      </c>
      <c r="N2" s="2">
        <f>VLOOKUP(M2,$A$1:$E$16,5,FALSE)</f>
        <v>29</v>
      </c>
      <c r="P2" s="2" t="s">
        <v>15</v>
      </c>
      <c r="Q2" s="2">
        <f>VLOOKUP(P2,$A$1:$E$16,5,FALSE)</f>
        <v>29</v>
      </c>
      <c r="S2" s="2" t="s">
        <v>16</v>
      </c>
      <c r="T2" s="2">
        <f>VLOOKUP(S2,$A$1:$E$16,5,FALSE)</f>
        <v>28</v>
      </c>
    </row>
    <row r="3" spans="1:20" ht="14.5" x14ac:dyDescent="0.35">
      <c r="A3" s="3" t="s">
        <v>13</v>
      </c>
      <c r="B3" s="2">
        <v>1</v>
      </c>
      <c r="C3" s="2">
        <v>2</v>
      </c>
      <c r="D3" s="2">
        <v>1</v>
      </c>
      <c r="E3" s="2">
        <f t="shared" si="0"/>
        <v>29</v>
      </c>
      <c r="G3" s="2" t="s">
        <v>21</v>
      </c>
      <c r="H3" s="2">
        <f>VLOOKUP(G3,$A$1:$E$16,5,FALSE)</f>
        <v>19</v>
      </c>
      <c r="J3" s="2" t="s">
        <v>20</v>
      </c>
      <c r="K3" s="2">
        <f t="shared" ref="K3:K4" si="1">VLOOKUP(J3,$A$1:$E$16,5,FALSE)</f>
        <v>21</v>
      </c>
      <c r="M3" s="2" t="s">
        <v>19</v>
      </c>
      <c r="N3" s="2">
        <f t="shared" ref="N3" si="2">VLOOKUP(M3,$A$1:$E$16,5,FALSE)</f>
        <v>23</v>
      </c>
      <c r="P3" s="2" t="s">
        <v>18</v>
      </c>
      <c r="Q3" s="2">
        <f>VLOOKUP(P3,$A$1:$E$16,5,FALSE)</f>
        <v>24</v>
      </c>
      <c r="S3" s="2" t="s">
        <v>17</v>
      </c>
      <c r="T3" s="2">
        <f t="shared" ref="T3:T4" si="3">VLOOKUP(S3,$A$1:$E$16,5,FALSE)</f>
        <v>28</v>
      </c>
    </row>
    <row r="4" spans="1:20" ht="14.5" x14ac:dyDescent="0.35">
      <c r="A4" s="3" t="s">
        <v>14</v>
      </c>
      <c r="B4" s="2">
        <v>2</v>
      </c>
      <c r="C4" s="2">
        <v>2</v>
      </c>
      <c r="D4" s="5">
        <v>0</v>
      </c>
      <c r="E4" s="2">
        <f t="shared" si="0"/>
        <v>29</v>
      </c>
      <c r="G4" s="2" t="s">
        <v>22</v>
      </c>
      <c r="H4" s="2">
        <f>VLOOKUP(G4,$A$1:$E$16,5,FALSE)</f>
        <v>16</v>
      </c>
      <c r="J4" s="2" t="s">
        <v>23</v>
      </c>
      <c r="K4" s="2">
        <f t="shared" si="1"/>
        <v>16</v>
      </c>
      <c r="M4" s="7" t="s">
        <v>24</v>
      </c>
      <c r="N4" s="2">
        <f>VLOOKUP(M4,$A$1:$E$16,5,FALSE)</f>
        <v>16</v>
      </c>
      <c r="P4" s="2" t="s">
        <v>25</v>
      </c>
      <c r="Q4" s="2">
        <f>VLOOKUP(P4,$A$1:$E$16,5,FALSE)</f>
        <v>16</v>
      </c>
      <c r="S4" s="2" t="s">
        <v>26</v>
      </c>
      <c r="T4" s="2">
        <f t="shared" si="3"/>
        <v>15</v>
      </c>
    </row>
    <row r="5" spans="1:20" ht="14.5" x14ac:dyDescent="0.35">
      <c r="A5" s="2" t="s">
        <v>15</v>
      </c>
      <c r="B5" s="6">
        <v>3</v>
      </c>
      <c r="C5" s="2">
        <v>1</v>
      </c>
      <c r="D5" s="2">
        <v>0</v>
      </c>
      <c r="E5" s="2">
        <f t="shared" si="0"/>
        <v>29</v>
      </c>
      <c r="G5" s="2"/>
      <c r="H5" s="2">
        <f>SUM(H2:H4)</f>
        <v>66</v>
      </c>
      <c r="J5" s="2"/>
      <c r="K5" s="2">
        <f>SUM(K2:K4)</f>
        <v>66</v>
      </c>
      <c r="M5" s="2"/>
      <c r="N5" s="2">
        <f>SUM(N2:N4)</f>
        <v>68</v>
      </c>
      <c r="P5" s="2"/>
      <c r="Q5" s="2">
        <f>SUM(Q2:Q4)</f>
        <v>69</v>
      </c>
      <c r="S5" s="2"/>
      <c r="T5" s="2">
        <f>SUM(T2:T4)</f>
        <v>71</v>
      </c>
    </row>
    <row r="6" spans="1:20" ht="14.5" x14ac:dyDescent="0.35">
      <c r="A6" s="4" t="s">
        <v>16</v>
      </c>
      <c r="B6" s="2">
        <v>2</v>
      </c>
      <c r="C6" s="2">
        <v>2</v>
      </c>
      <c r="D6" s="2">
        <v>1</v>
      </c>
      <c r="E6" s="2">
        <f t="shared" si="0"/>
        <v>28</v>
      </c>
    </row>
    <row r="7" spans="1:20" ht="14.5" x14ac:dyDescent="0.35">
      <c r="A7" s="4" t="s">
        <v>17</v>
      </c>
      <c r="B7" s="2">
        <v>3</v>
      </c>
      <c r="C7" s="2">
        <v>1</v>
      </c>
      <c r="D7" s="2">
        <v>1</v>
      </c>
      <c r="E7" s="2">
        <f t="shared" si="0"/>
        <v>28</v>
      </c>
    </row>
    <row r="8" spans="1:20" ht="14.5" x14ac:dyDescent="0.35">
      <c r="A8" s="5" t="s">
        <v>18</v>
      </c>
      <c r="B8" s="2">
        <v>3</v>
      </c>
      <c r="C8" s="2">
        <v>6</v>
      </c>
      <c r="D8" s="2">
        <v>0</v>
      </c>
      <c r="E8" s="2">
        <f t="shared" si="0"/>
        <v>24</v>
      </c>
      <c r="J8" s="1"/>
    </row>
    <row r="9" spans="1:20" ht="14.5" x14ac:dyDescent="0.35">
      <c r="A9" s="4" t="s">
        <v>19</v>
      </c>
      <c r="B9" s="2">
        <v>4</v>
      </c>
      <c r="C9" s="2">
        <v>4</v>
      </c>
      <c r="D9" s="2">
        <v>2</v>
      </c>
      <c r="E9" s="2">
        <f t="shared" si="0"/>
        <v>23</v>
      </c>
    </row>
    <row r="10" spans="1:20" ht="14.5" x14ac:dyDescent="0.35">
      <c r="A10" s="4" t="s">
        <v>20</v>
      </c>
      <c r="B10" s="2">
        <v>6</v>
      </c>
      <c r="C10" s="2">
        <v>4</v>
      </c>
      <c r="D10" s="2">
        <v>2</v>
      </c>
      <c r="E10" s="2">
        <f t="shared" si="0"/>
        <v>21</v>
      </c>
    </row>
    <row r="11" spans="1:20" ht="14.5" x14ac:dyDescent="0.35">
      <c r="A11" s="3" t="s">
        <v>21</v>
      </c>
      <c r="B11" s="2">
        <v>5</v>
      </c>
      <c r="C11" s="2">
        <v>7</v>
      </c>
      <c r="D11" s="2">
        <v>2</v>
      </c>
      <c r="E11" s="2">
        <f t="shared" si="0"/>
        <v>19</v>
      </c>
    </row>
    <row r="12" spans="1:20" ht="14.5" x14ac:dyDescent="0.35">
      <c r="A12" s="2" t="s">
        <v>22</v>
      </c>
      <c r="B12" s="2">
        <v>3</v>
      </c>
      <c r="C12" s="2">
        <v>13</v>
      </c>
      <c r="D12" s="5">
        <v>1</v>
      </c>
      <c r="E12" s="2">
        <f t="shared" si="0"/>
        <v>16</v>
      </c>
    </row>
    <row r="13" spans="1:20" ht="14.5" x14ac:dyDescent="0.35">
      <c r="A13" s="3" t="s">
        <v>23</v>
      </c>
      <c r="B13" s="2">
        <v>3</v>
      </c>
      <c r="C13" s="2">
        <v>13</v>
      </c>
      <c r="D13" s="5">
        <v>1</v>
      </c>
      <c r="E13" s="2">
        <f>33-(B13+C13+D12)</f>
        <v>16</v>
      </c>
    </row>
    <row r="14" spans="1:20" ht="15" customHeight="1" x14ac:dyDescent="0.35">
      <c r="A14" s="3" t="s">
        <v>24</v>
      </c>
      <c r="B14" s="2">
        <v>4</v>
      </c>
      <c r="C14" s="2">
        <v>12</v>
      </c>
      <c r="D14" s="6">
        <v>1</v>
      </c>
      <c r="E14" s="2">
        <f>33-(B14+C14+D14)</f>
        <v>16</v>
      </c>
    </row>
    <row r="15" spans="1:20" ht="15" customHeight="1" x14ac:dyDescent="0.35">
      <c r="A15" s="3" t="s">
        <v>25</v>
      </c>
      <c r="B15" s="2">
        <v>5</v>
      </c>
      <c r="C15" s="2">
        <v>11</v>
      </c>
      <c r="D15" s="6">
        <v>1</v>
      </c>
      <c r="E15" s="2">
        <f>33-(B15+C15+D15)</f>
        <v>16</v>
      </c>
    </row>
    <row r="16" spans="1:20" ht="15" customHeight="1" x14ac:dyDescent="0.35">
      <c r="A16" s="4" t="s">
        <v>26</v>
      </c>
      <c r="B16" s="2">
        <v>4</v>
      </c>
      <c r="C16" s="2">
        <v>13</v>
      </c>
      <c r="D16" s="5">
        <v>1</v>
      </c>
      <c r="E16" s="2">
        <f>33-(B16+C16+D16)</f>
        <v>15</v>
      </c>
    </row>
  </sheetData>
  <sortState xmlns:xlrd2="http://schemas.microsoft.com/office/spreadsheetml/2017/richdata2" ref="A2:E16">
    <sortCondition descending="1"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Intake 1</vt:lpstr>
      <vt:lpstr>Intake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Mantej Singh</dc:creator>
  <cp:keywords/>
  <dc:description/>
  <cp:lastModifiedBy>Mantej Singh</cp:lastModifiedBy>
  <cp:revision/>
  <dcterms:created xsi:type="dcterms:W3CDTF">2025-11-25T07:50:04Z</dcterms:created>
  <dcterms:modified xsi:type="dcterms:W3CDTF">2026-02-24T01:20:47Z</dcterms:modified>
  <cp:category/>
  <cp:contentStatus/>
</cp:coreProperties>
</file>