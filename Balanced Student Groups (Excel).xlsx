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te\OneDrive\Data Analyst Portfolio\"/>
    </mc:Choice>
  </mc:AlternateContent>
  <xr:revisionPtr revIDLastSave="0" documentId="13_ncr:1_{6C28276B-EADD-4667-8F1B-A4D729D3E2FD}" xr6:coauthVersionLast="47" xr6:coauthVersionMax="47" xr10:uidLastSave="{00000000-0000-0000-0000-000000000000}"/>
  <bookViews>
    <workbookView xWindow="-110" yWindow="-110" windowWidth="38620" windowHeight="21100" xr2:uid="{357CED68-60FD-4576-B424-A5FA990D1379}"/>
  </bookViews>
  <sheets>
    <sheet name="Balanced Student Gro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K18" i="1"/>
  <c r="K17" i="1"/>
  <c r="K16" i="1"/>
  <c r="K15" i="1"/>
  <c r="H18" i="1"/>
  <c r="H17" i="1"/>
  <c r="H16" i="1"/>
  <c r="H15" i="1"/>
  <c r="Q11" i="1"/>
  <c r="Q10" i="1"/>
  <c r="Q9" i="1"/>
  <c r="Q8" i="1"/>
  <c r="H9" i="1"/>
  <c r="H10" i="1"/>
  <c r="H11" i="1"/>
  <c r="N9" i="1"/>
  <c r="N8" i="1"/>
  <c r="K10" i="1"/>
  <c r="K9" i="1"/>
  <c r="K8" i="1"/>
  <c r="E25" i="1"/>
  <c r="N11" i="1" s="1"/>
  <c r="E24" i="1"/>
  <c r="K11" i="1" s="1"/>
  <c r="E28" i="1"/>
  <c r="E27" i="1"/>
  <c r="E26" i="1"/>
  <c r="E22" i="1"/>
  <c r="E20" i="1"/>
  <c r="E17" i="1"/>
  <c r="E16" i="1"/>
  <c r="E8" i="1"/>
  <c r="E7" i="1"/>
  <c r="E6" i="1"/>
  <c r="E5" i="1"/>
  <c r="E4" i="1"/>
  <c r="E2" i="1"/>
  <c r="H8" i="1" s="1"/>
  <c r="E21" i="1"/>
  <c r="E19" i="1"/>
  <c r="E18" i="1"/>
  <c r="N10" i="1" s="1"/>
  <c r="E15" i="1"/>
  <c r="E12" i="1"/>
  <c r="E13" i="1"/>
  <c r="E14" i="1"/>
  <c r="E9" i="1"/>
  <c r="E10" i="1"/>
  <c r="E11" i="1"/>
  <c r="E3" i="1"/>
  <c r="E23" i="1"/>
  <c r="N19" i="1" l="1"/>
  <c r="K19" i="1"/>
  <c r="H19" i="1"/>
  <c r="Q12" i="1"/>
  <c r="H12" i="1"/>
  <c r="K12" i="1" l="1"/>
  <c r="N12" i="1"/>
</calcChain>
</file>

<file path=xl/sharedStrings.xml><?xml version="1.0" encoding="utf-8"?>
<sst xmlns="http://schemas.openxmlformats.org/spreadsheetml/2006/main" count="73" uniqueCount="39">
  <si>
    <t>Group 1</t>
  </si>
  <si>
    <t>Group 2</t>
  </si>
  <si>
    <t>Group 3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</si>
  <si>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</si>
  <si>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</si>
  <si>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</si>
  <si>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</si>
  <si>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</si>
  <si>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</si>
  <si>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</si>
  <si>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</si>
  <si>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</si>
  <si>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</si>
  <si>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</si>
  <si>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</si>
  <si>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</si>
  <si>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</si>
  <si>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</si>
  <si>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</si>
  <si>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</si>
  <si>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</si>
  <si>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</si>
  <si>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</si>
  <si>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</si>
  <si>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</si>
  <si>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</si>
  <si>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</si>
  <si>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</si>
  <si>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</si>
  <si>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</si>
  <si>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Students</t>
  </si>
  <si>
    <t>Group 4</t>
  </si>
  <si>
    <t>Group 5</t>
  </si>
  <si>
    <t>Group 6</t>
  </si>
  <si>
    <t>Group 7</t>
  </si>
  <si>
    <t>Total Marks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</si>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</sst>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0E4F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3" borderId="2" xfId="0" applyFill="1" applyBorder="1"/>
    <xf numFmtId="0" fontId="0" fillId="0" borderId="8" xfId="0" applyBorder="1"/>
    <xf numFmtId="0" fontId="1" fillId="3" borderId="6" xfId="0" applyFont="1" applyFill="1" applyBorder="1"/>
    <xf numFmtId="0" fontId="3" fillId="0" borderId="2" xfId="0" applyFon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51"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C0E4F5"/>
          <bgColor theme="0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865FE9-1769-4BB5-ADE4-883FFB9E1162}" name="Table4" displayName="Table4" ref="J7:K12" totalsRowShown="0" headerRowDxfId="50" headerRowBorderDxfId="49" tableBorderDxfId="48" totalsRowBorderDxfId="47">
  <autoFilter ref="J7:K12" xr:uid="{A1865FE9-1769-4BB5-ADE4-883FFB9E1162}"/>
  <tableColumns count="2">
    <tableColumn id="1" xr3:uid="{A68F27A5-9BA7-42CF-9D48-3E5798939559}" name="Group 2" dataDxfId="46"/>
    <tableColumn id="2" xr3:uid="{AF97C56E-3AF0-474D-B5C6-220E2C5E8838}" name="Total Marks" dataDxfId="4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75DFAD-6CC8-41DF-8D4F-9BFE3DDA906F}" name="Table6" displayName="Table6" ref="M7:N12" totalsRowShown="0" headerRowDxfId="44" headerRowBorderDxfId="43" tableBorderDxfId="42" totalsRowBorderDxfId="41">
  <autoFilter ref="M7:N12" xr:uid="{7C75DFAD-6CC8-41DF-8D4F-9BFE3DDA906F}"/>
  <tableColumns count="2">
    <tableColumn id="1" xr3:uid="{7995FFC4-CF36-4F9C-AD45-ACD3DEA33197}" name="Group 3" dataDxfId="40"/>
    <tableColumn id="2" xr3:uid="{5C9E7F4F-C8AB-4FA0-A86D-4B105FB23004}" name="Total Marks" dataDxfId="3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6ACA1A-D873-43AB-85CD-C2DFB3ADFAAA}" name="Table3" displayName="Table3" ref="G7:H12" totalsRowShown="0" headerRowDxfId="38" headerRowBorderDxfId="37" tableBorderDxfId="36" totalsRowBorderDxfId="35">
  <autoFilter ref="G7:H12" xr:uid="{516ACA1A-D873-43AB-85CD-C2DFB3ADFAAA}"/>
  <tableColumns count="2">
    <tableColumn id="1" xr3:uid="{761D6E4F-F2FA-40EE-8C53-9093AFD75225}" name="Group 1" dataDxfId="34"/>
    <tableColumn id="2" xr3:uid="{8BDD0247-2C0C-4E91-9173-2170BDB17918}" name="Total Marks" dataDxfId="3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4337D-89BD-4899-AA41-935B925E6150}" name="Table1" displayName="Table1" ref="A1:E28" totalsRowShown="0" headerRowDxfId="32" headerRowBorderDxfId="31" tableBorderDxfId="30" totalsRowBorderDxfId="29">
  <autoFilter ref="A1:E28" xr:uid="{1584337D-89BD-4899-AA41-935B925E6150}"/>
  <tableColumns count="5">
    <tableColumn id="1" xr3:uid="{D6470562-7CDB-4277-9F74-44F1392343D6}" name="Students" dataDxfId="28"/>
    <tableColumn id="2" xr3:uid="{71D4EC00-F610-49CB-9D8A-276045923C1B}" name="A1" dataDxfId="27"/>
    <tableColumn id="3" xr3:uid="{21E0A7F8-678A-49B2-B086-941F18CE6C8B}" name="A2" dataDxfId="26"/>
    <tableColumn id="4" xr3:uid="{768AAC2C-7437-4BAB-95A7-B7EB7F9E1A93}" name="A3" dataDxfId="25"/>
    <tableColumn id="5" xr3:uid="{A13CF038-B0D3-440F-92B7-FDAAD2EA1EEE}" name="Total Marks" dataDxfId="24">
      <calculatedColumnFormula>33-(B2+C2+D2)</calculatedColumnFormula>
    </tableColumn>
  </tableColumns>
  <tableStyleInfo name="TableStyleLight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578E02-048E-4EF7-BE72-A5794C0E79FE}" name="Table33" displayName="Table33" ref="P7:Q12" totalsRowShown="0" headerRowDxfId="23" headerRowBorderDxfId="22" tableBorderDxfId="21" totalsRowBorderDxfId="20">
  <autoFilter ref="P7:Q12" xr:uid="{2F578E02-048E-4EF7-BE72-A5794C0E79FE}"/>
  <tableColumns count="2">
    <tableColumn id="1" xr3:uid="{71FC4137-55FA-4A90-A34D-9B5206CC9158}" name="Group 4" dataDxfId="19"/>
    <tableColumn id="2" xr3:uid="{B9D9C120-3DD0-4F8F-BC78-43F8F75D1C72}" name="Total Marks" dataDxfId="18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35BD62-594C-4102-B677-4822347BC702}" name="Table38" displayName="Table38" ref="G14:H19" totalsRowShown="0" headerRowDxfId="17" headerRowBorderDxfId="16" tableBorderDxfId="15" totalsRowBorderDxfId="14">
  <autoFilter ref="G14:H19" xr:uid="{C535BD62-594C-4102-B677-4822347BC702}"/>
  <tableColumns count="2">
    <tableColumn id="1" xr3:uid="{08523403-562B-436F-A0A0-8C5F3C3196E8}" name="Group 5" dataDxfId="13"/>
    <tableColumn id="2" xr3:uid="{1A41D5BC-5635-468C-9048-3DC8BBC88C82}" name="Total Marks" dataDxfId="1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3413B3-71D4-4D7E-968B-EB5864772B3B}" name="Table39" displayName="Table39" ref="J14:K19" totalsRowShown="0" headerRowDxfId="11" headerRowBorderDxfId="10" tableBorderDxfId="9" totalsRowBorderDxfId="8">
  <autoFilter ref="J14:K19" xr:uid="{473413B3-71D4-4D7E-968B-EB5864772B3B}"/>
  <tableColumns count="2">
    <tableColumn id="1" xr3:uid="{E3E0AF0D-267B-41D1-93E6-992AEBF99513}" name="Group 6" dataDxfId="7"/>
    <tableColumn id="2" xr3:uid="{FAC798F3-00F7-4F96-9106-B8CFC55D5DA1}" name="Total Marks" dataDxfId="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2B21BC-8616-42FD-B7B4-5C7D7DE85A7C}" name="Table310" displayName="Table310" ref="M14:N19" totalsRowShown="0" headerRowDxfId="5" headerRowBorderDxfId="4" tableBorderDxfId="3" totalsRowBorderDxfId="2">
  <autoFilter ref="M14:N19" xr:uid="{772B21BC-8616-42FD-B7B4-5C7D7DE85A7C}"/>
  <tableColumns count="2">
    <tableColumn id="1" xr3:uid="{12BACA31-30E2-456C-AD92-776FCD0DB094}" name="Group 7" dataDxfId="1"/>
    <tableColumn id="2" xr3:uid="{15379C42-653D-4967-95BE-97F6C1AE6FFF}" name="Total Mark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B856-8B07-4FA6-8995-841D739F8EBA}">
  <dimension ref="A1:Q28"/>
  <sheetViews>
    <sheetView tabSelected="1" workbookViewId="0">
      <selection activeCell="H21" sqref="H21"/>
    </sheetView>
  </sheetViews>
  <sheetFormatPr defaultRowHeight="15" customHeight="1" x14ac:dyDescent="0.35"/>
  <cols>
    <col min="1" max="1" width="12.1796875" customWidth="1"/>
    <col min="2" max="3" width="6.08984375" customWidth="1"/>
    <col min="4" max="4" width="5.90625" customWidth="1"/>
    <col min="5" max="5" width="13.08984375" customWidth="1"/>
    <col min="6" max="6" width="7.26953125" customWidth="1"/>
    <col min="7" max="7" width="9.54296875" customWidth="1"/>
    <col min="8" max="8" width="13.26953125" customWidth="1"/>
    <col min="9" max="9" width="4.81640625" customWidth="1"/>
    <col min="10" max="10" width="9.453125" customWidth="1"/>
    <col min="11" max="11" width="13" customWidth="1"/>
    <col min="12" max="12" width="5.453125" customWidth="1"/>
    <col min="13" max="13" width="10.08984375" customWidth="1"/>
    <col min="14" max="14" width="12.81640625" customWidth="1"/>
    <col min="15" max="15" width="4.26953125" customWidth="1"/>
    <col min="16" max="16" width="12.08984375" customWidth="1"/>
    <col min="17" max="17" width="13.26953125" customWidth="1"/>
    <col min="18" max="18" width="12.1796875" customWidth="1"/>
  </cols>
  <sheetData>
    <row r="1" spans="1:17" ht="14.5" x14ac:dyDescent="0.35">
      <c r="A1" s="3" t="s">
        <v>30</v>
      </c>
      <c r="B1" s="9" t="s">
        <v>36</v>
      </c>
      <c r="C1" s="9" t="s">
        <v>37</v>
      </c>
      <c r="D1" s="9" t="s">
        <v>38</v>
      </c>
      <c r="E1" s="4" t="s">
        <v>35</v>
      </c>
    </row>
    <row r="2" spans="1:17" ht="14.5" x14ac:dyDescent="0.35">
      <c r="A2" s="6" t="s">
        <v>3</v>
      </c>
      <c r="B2" s="12">
        <v>1</v>
      </c>
      <c r="C2" s="12">
        <v>0</v>
      </c>
      <c r="D2" s="13">
        <v>1</v>
      </c>
      <c r="E2" s="14">
        <f t="shared" ref="E2:E28" si="0">33-(B2+C2+D2)</f>
        <v>31</v>
      </c>
    </row>
    <row r="3" spans="1:17" ht="14.5" x14ac:dyDescent="0.35">
      <c r="A3" s="6" t="s">
        <v>4</v>
      </c>
      <c r="B3" s="12">
        <v>3</v>
      </c>
      <c r="C3" s="12">
        <v>1</v>
      </c>
      <c r="D3" s="12">
        <v>0</v>
      </c>
      <c r="E3" s="14">
        <f t="shared" si="0"/>
        <v>29</v>
      </c>
    </row>
    <row r="4" spans="1:17" ht="14.5" x14ac:dyDescent="0.35">
      <c r="A4" s="6" t="s">
        <v>5</v>
      </c>
      <c r="B4" s="12">
        <v>1</v>
      </c>
      <c r="C4" s="12">
        <v>2</v>
      </c>
      <c r="D4" s="12">
        <v>1</v>
      </c>
      <c r="E4" s="14">
        <f t="shared" si="0"/>
        <v>29</v>
      </c>
      <c r="M4" s="1"/>
    </row>
    <row r="5" spans="1:17" ht="14.5" x14ac:dyDescent="0.35">
      <c r="A5" s="6" t="s">
        <v>6</v>
      </c>
      <c r="B5" s="12">
        <v>2</v>
      </c>
      <c r="C5" s="12">
        <v>2</v>
      </c>
      <c r="D5" s="13">
        <v>0</v>
      </c>
      <c r="E5" s="14">
        <f t="shared" si="0"/>
        <v>29</v>
      </c>
    </row>
    <row r="6" spans="1:17" ht="14.5" x14ac:dyDescent="0.35">
      <c r="A6" s="2" t="s">
        <v>7</v>
      </c>
      <c r="B6" s="13">
        <v>3</v>
      </c>
      <c r="C6" s="12">
        <v>1</v>
      </c>
      <c r="D6" s="12">
        <v>0</v>
      </c>
      <c r="E6" s="14">
        <f t="shared" si="0"/>
        <v>29</v>
      </c>
    </row>
    <row r="7" spans="1:17" ht="14.5" x14ac:dyDescent="0.35">
      <c r="A7" s="7" t="s">
        <v>8</v>
      </c>
      <c r="B7" s="12">
        <v>2</v>
      </c>
      <c r="C7" s="12">
        <v>2</v>
      </c>
      <c r="D7" s="12">
        <v>1</v>
      </c>
      <c r="E7" s="14">
        <f t="shared" si="0"/>
        <v>28</v>
      </c>
      <c r="G7" s="3" t="s">
        <v>0</v>
      </c>
      <c r="H7" s="4" t="s">
        <v>35</v>
      </c>
      <c r="J7" s="3" t="s">
        <v>1</v>
      </c>
      <c r="K7" s="4" t="s">
        <v>35</v>
      </c>
      <c r="M7" s="3" t="s">
        <v>2</v>
      </c>
      <c r="N7" s="4" t="s">
        <v>35</v>
      </c>
      <c r="P7" s="3" t="s">
        <v>31</v>
      </c>
      <c r="Q7" s="4" t="s">
        <v>35</v>
      </c>
    </row>
    <row r="8" spans="1:17" ht="14.5" x14ac:dyDescent="0.35">
      <c r="A8" s="7" t="s">
        <v>9</v>
      </c>
      <c r="B8" s="12">
        <v>3</v>
      </c>
      <c r="C8" s="12">
        <v>1</v>
      </c>
      <c r="D8" s="12">
        <v>1</v>
      </c>
      <c r="E8" s="14">
        <f t="shared" si="0"/>
        <v>28</v>
      </c>
      <c r="G8" s="2" t="s">
        <v>6</v>
      </c>
      <c r="H8" s="14">
        <f>VLOOKUP(G8,$A$1:$E$28,5,FALSE)</f>
        <v>29</v>
      </c>
      <c r="J8" s="11" t="s">
        <v>7</v>
      </c>
      <c r="K8" s="14">
        <f>VLOOKUP(J8,$A$1:$E$28,5,FALSE)</f>
        <v>29</v>
      </c>
      <c r="M8" s="2" t="s">
        <v>8</v>
      </c>
      <c r="N8" s="14">
        <f>VLOOKUP(M8,$A$1:$E$28,5,FALSE)</f>
        <v>28</v>
      </c>
      <c r="P8" s="2" t="s">
        <v>11</v>
      </c>
      <c r="Q8" s="14">
        <f>VLOOKUP(P8,$A$1:$E$28,5,FALSE)</f>
        <v>27</v>
      </c>
    </row>
    <row r="9" spans="1:17" ht="14.5" x14ac:dyDescent="0.35">
      <c r="A9" s="7" t="s">
        <v>10</v>
      </c>
      <c r="B9" s="12">
        <v>4</v>
      </c>
      <c r="C9" s="12">
        <v>2</v>
      </c>
      <c r="D9" s="12">
        <v>0</v>
      </c>
      <c r="E9" s="14">
        <f t="shared" si="0"/>
        <v>27</v>
      </c>
      <c r="G9" s="2" t="s">
        <v>13</v>
      </c>
      <c r="H9" s="14">
        <f>VLOOKUP(G9,$A$1:$E$28,5,FALSE)</f>
        <v>25</v>
      </c>
      <c r="J9" s="2" t="s">
        <v>14</v>
      </c>
      <c r="K9" s="14">
        <f>VLOOKUP(J9,$A$1:$E$28,5,FALSE)</f>
        <v>25</v>
      </c>
      <c r="M9" s="2" t="s">
        <v>15</v>
      </c>
      <c r="N9" s="14">
        <f>VLOOKUP(M9,$A$1:$E$28,5,FALSE)</f>
        <v>25</v>
      </c>
      <c r="P9" s="2" t="s">
        <v>16</v>
      </c>
      <c r="Q9" s="14">
        <f>VLOOKUP(P9,$A$1:$E$28,5,FALSE)</f>
        <v>24</v>
      </c>
    </row>
    <row r="10" spans="1:17" ht="14.5" x14ac:dyDescent="0.35">
      <c r="A10" s="6" t="s">
        <v>11</v>
      </c>
      <c r="B10" s="12">
        <v>3</v>
      </c>
      <c r="C10" s="12">
        <v>2</v>
      </c>
      <c r="D10" s="12">
        <v>1</v>
      </c>
      <c r="E10" s="14">
        <f t="shared" si="0"/>
        <v>27</v>
      </c>
      <c r="G10" s="2" t="s">
        <v>20</v>
      </c>
      <c r="H10" s="14">
        <f>VLOOKUP(G10,$A$1:$E$28,5,FALSE)</f>
        <v>21</v>
      </c>
      <c r="J10" s="2" t="s">
        <v>22</v>
      </c>
      <c r="K10" s="14">
        <f>VLOOKUP(J10,$A$1:$E$28,5,FALSE)</f>
        <v>20</v>
      </c>
      <c r="M10" s="2" t="s">
        <v>26</v>
      </c>
      <c r="N10" s="14">
        <f>VLOOKUP(M10,$A$1:$E$28,5,FALSE)</f>
        <v>16</v>
      </c>
      <c r="P10" s="2" t="s">
        <v>25</v>
      </c>
      <c r="Q10" s="14">
        <f>VLOOKUP(P10,$A$1:$E$28,5,FALSE)</f>
        <v>16</v>
      </c>
    </row>
    <row r="11" spans="1:17" ht="14.5" x14ac:dyDescent="0.35">
      <c r="A11" s="6" t="s">
        <v>12</v>
      </c>
      <c r="B11" s="12">
        <v>3</v>
      </c>
      <c r="C11" s="12">
        <v>1</v>
      </c>
      <c r="D11" s="12">
        <v>2</v>
      </c>
      <c r="E11" s="14">
        <f t="shared" si="0"/>
        <v>27</v>
      </c>
      <c r="G11" s="2" t="s">
        <v>29</v>
      </c>
      <c r="H11" s="14">
        <f>VLOOKUP(G11,$A$1:$E$28,5,FALSE)</f>
        <v>15</v>
      </c>
      <c r="J11" s="2" t="s">
        <v>28</v>
      </c>
      <c r="K11" s="14">
        <f>VLOOKUP(J11,$A$1:$E$28,5,FALSE)</f>
        <v>16</v>
      </c>
      <c r="M11" s="2" t="s">
        <v>21</v>
      </c>
      <c r="N11" s="14">
        <f>VLOOKUP(M11,$A$1:$E$28,5,FALSE)</f>
        <v>21</v>
      </c>
      <c r="P11" s="2" t="s">
        <v>18</v>
      </c>
      <c r="Q11" s="14">
        <f>VLOOKUP(P11,$A$1:$E$28,5,FALSE)</f>
        <v>23</v>
      </c>
    </row>
    <row r="12" spans="1:17" ht="14.5" x14ac:dyDescent="0.35">
      <c r="A12" s="6" t="s">
        <v>13</v>
      </c>
      <c r="B12" s="12">
        <v>3</v>
      </c>
      <c r="C12" s="12">
        <v>5</v>
      </c>
      <c r="D12" s="13">
        <v>0</v>
      </c>
      <c r="E12" s="14">
        <f t="shared" si="0"/>
        <v>25</v>
      </c>
      <c r="G12" s="5"/>
      <c r="H12" s="18">
        <f>SUM(H8:H11)</f>
        <v>90</v>
      </c>
      <c r="J12" s="5"/>
      <c r="K12" s="18">
        <f>SUM(K8:K11)</f>
        <v>90</v>
      </c>
      <c r="M12" s="5"/>
      <c r="N12" s="18">
        <f>SUM(N8:N11)</f>
        <v>90</v>
      </c>
      <c r="P12" s="5"/>
      <c r="Q12" s="18">
        <f>SUM(Q8:Q11)</f>
        <v>90</v>
      </c>
    </row>
    <row r="13" spans="1:17" ht="14.5" x14ac:dyDescent="0.35">
      <c r="A13" s="6" t="s">
        <v>14</v>
      </c>
      <c r="B13" s="12">
        <v>2</v>
      </c>
      <c r="C13" s="12">
        <v>4</v>
      </c>
      <c r="D13" s="12">
        <v>2</v>
      </c>
      <c r="E13" s="14">
        <f t="shared" si="0"/>
        <v>25</v>
      </c>
    </row>
    <row r="14" spans="1:17" ht="15" customHeight="1" x14ac:dyDescent="0.35">
      <c r="A14" s="7" t="s">
        <v>15</v>
      </c>
      <c r="B14" s="12">
        <v>2</v>
      </c>
      <c r="C14" s="12">
        <v>4</v>
      </c>
      <c r="D14" s="12">
        <v>2</v>
      </c>
      <c r="E14" s="14">
        <f t="shared" si="0"/>
        <v>25</v>
      </c>
      <c r="G14" s="3" t="s">
        <v>32</v>
      </c>
      <c r="H14" s="4" t="s">
        <v>35</v>
      </c>
      <c r="J14" s="3" t="s">
        <v>33</v>
      </c>
      <c r="K14" s="4" t="s">
        <v>35</v>
      </c>
      <c r="M14" s="3" t="s">
        <v>34</v>
      </c>
      <c r="N14" s="4" t="s">
        <v>35</v>
      </c>
    </row>
    <row r="15" spans="1:17" ht="15" customHeight="1" x14ac:dyDescent="0.35">
      <c r="A15" s="7" t="s">
        <v>16</v>
      </c>
      <c r="B15" s="12">
        <v>4</v>
      </c>
      <c r="C15" s="12">
        <v>4</v>
      </c>
      <c r="D15" s="12">
        <v>1</v>
      </c>
      <c r="E15" s="14">
        <f t="shared" si="0"/>
        <v>24</v>
      </c>
      <c r="G15" s="2" t="s">
        <v>10</v>
      </c>
      <c r="H15" s="14">
        <f>VLOOKUP(G15,$A$1:$E$28,5,FALSE)</f>
        <v>27</v>
      </c>
      <c r="J15" s="2" t="s">
        <v>9</v>
      </c>
      <c r="K15" s="14">
        <f>VLOOKUP(J15,$A$1:$E$28,5,FALSE)</f>
        <v>28</v>
      </c>
      <c r="M15" s="2" t="s">
        <v>3</v>
      </c>
      <c r="N15" s="14">
        <f>VLOOKUP(M15,$A$1:$E$28,5,FALSE)</f>
        <v>31</v>
      </c>
    </row>
    <row r="16" spans="1:17" ht="15" customHeight="1" x14ac:dyDescent="0.35">
      <c r="A16" s="8" t="s">
        <v>17</v>
      </c>
      <c r="B16" s="12">
        <v>3</v>
      </c>
      <c r="C16" s="12">
        <v>6</v>
      </c>
      <c r="D16" s="12">
        <v>0</v>
      </c>
      <c r="E16" s="14">
        <f t="shared" si="0"/>
        <v>24</v>
      </c>
      <c r="G16" s="2" t="s">
        <v>17</v>
      </c>
      <c r="H16" s="14">
        <f>VLOOKUP(G16,$A$1:$E$28,5,FALSE)</f>
        <v>24</v>
      </c>
      <c r="J16" s="2" t="s">
        <v>12</v>
      </c>
      <c r="K16" s="14">
        <f>VLOOKUP(J16,$A$1:$E$28,5,FALSE)</f>
        <v>27</v>
      </c>
      <c r="M16" s="2" t="s">
        <v>4</v>
      </c>
      <c r="N16" s="14">
        <f>VLOOKUP(M16,$A$1:$E$28,5,FALSE)</f>
        <v>29</v>
      </c>
    </row>
    <row r="17" spans="1:14" ht="15" customHeight="1" x14ac:dyDescent="0.35">
      <c r="A17" s="7" t="s">
        <v>18</v>
      </c>
      <c r="B17" s="12">
        <v>4</v>
      </c>
      <c r="C17" s="12">
        <v>4</v>
      </c>
      <c r="D17" s="12">
        <v>2</v>
      </c>
      <c r="E17" s="14">
        <f t="shared" si="0"/>
        <v>23</v>
      </c>
      <c r="G17" s="2" t="s">
        <v>24</v>
      </c>
      <c r="H17" s="14">
        <f>VLOOKUP(G17,$A$1:$E$28,5,FALSE)</f>
        <v>17</v>
      </c>
      <c r="J17" s="2" t="s">
        <v>23</v>
      </c>
      <c r="K17" s="14">
        <f>VLOOKUP(J17,$A$1:$E$28,5,FALSE)</f>
        <v>19</v>
      </c>
      <c r="M17" s="2" t="s">
        <v>5</v>
      </c>
      <c r="N17" s="14">
        <f>VLOOKUP(M17,$A$1:$E$28,5,FALSE)</f>
        <v>29</v>
      </c>
    </row>
    <row r="18" spans="1:14" ht="15" customHeight="1" x14ac:dyDescent="0.35">
      <c r="A18" s="7" t="s">
        <v>19</v>
      </c>
      <c r="B18" s="12">
        <v>6</v>
      </c>
      <c r="C18" s="12">
        <v>5</v>
      </c>
      <c r="D18" s="12">
        <v>0</v>
      </c>
      <c r="E18" s="14">
        <f t="shared" si="0"/>
        <v>22</v>
      </c>
      <c r="G18" s="2" t="s">
        <v>19</v>
      </c>
      <c r="H18" s="14">
        <f>VLOOKUP(G18,$A$1:$E$28,5,FALSE)</f>
        <v>22</v>
      </c>
      <c r="J18" s="2" t="s">
        <v>27</v>
      </c>
      <c r="K18" s="14">
        <f>VLOOKUP(J18,$A$1:$E$28,5,FALSE)</f>
        <v>16</v>
      </c>
      <c r="M18" s="2"/>
      <c r="N18" s="14"/>
    </row>
    <row r="19" spans="1:14" ht="15" customHeight="1" x14ac:dyDescent="0.35">
      <c r="A19" s="6" t="s">
        <v>20</v>
      </c>
      <c r="B19" s="12">
        <v>1</v>
      </c>
      <c r="C19" s="12">
        <v>10</v>
      </c>
      <c r="D19" s="13">
        <v>1</v>
      </c>
      <c r="E19" s="14">
        <f t="shared" si="0"/>
        <v>21</v>
      </c>
      <c r="G19" s="5"/>
      <c r="H19" s="18">
        <f>SUM(H15:H18)</f>
        <v>90</v>
      </c>
      <c r="J19" s="5"/>
      <c r="K19" s="18">
        <f>SUM(K15:K18)</f>
        <v>90</v>
      </c>
      <c r="M19" s="5"/>
      <c r="N19" s="18">
        <f>SUM(N15:N18)</f>
        <v>89</v>
      </c>
    </row>
    <row r="20" spans="1:14" ht="15" customHeight="1" x14ac:dyDescent="0.35">
      <c r="A20" s="7" t="s">
        <v>21</v>
      </c>
      <c r="B20" s="12">
        <v>6</v>
      </c>
      <c r="C20" s="12">
        <v>4</v>
      </c>
      <c r="D20" s="12">
        <v>2</v>
      </c>
      <c r="E20" s="14">
        <f t="shared" si="0"/>
        <v>21</v>
      </c>
    </row>
    <row r="21" spans="1:14" ht="15" customHeight="1" x14ac:dyDescent="0.35">
      <c r="A21" s="6" t="s">
        <v>22</v>
      </c>
      <c r="B21" s="12">
        <v>8</v>
      </c>
      <c r="C21" s="12">
        <v>3</v>
      </c>
      <c r="D21" s="12">
        <v>2</v>
      </c>
      <c r="E21" s="14">
        <f t="shared" si="0"/>
        <v>20</v>
      </c>
    </row>
    <row r="22" spans="1:14" ht="15" customHeight="1" x14ac:dyDescent="0.35">
      <c r="A22" s="6" t="s">
        <v>23</v>
      </c>
      <c r="B22" s="12">
        <v>5</v>
      </c>
      <c r="C22" s="12">
        <v>7</v>
      </c>
      <c r="D22" s="12">
        <v>2</v>
      </c>
      <c r="E22" s="14">
        <f t="shared" si="0"/>
        <v>19</v>
      </c>
    </row>
    <row r="23" spans="1:14" ht="15" customHeight="1" x14ac:dyDescent="0.35">
      <c r="A23" s="7" t="s">
        <v>24</v>
      </c>
      <c r="B23" s="12">
        <v>5</v>
      </c>
      <c r="C23" s="12">
        <v>6</v>
      </c>
      <c r="D23" s="12">
        <v>5</v>
      </c>
      <c r="E23" s="14">
        <f t="shared" si="0"/>
        <v>17</v>
      </c>
    </row>
    <row r="24" spans="1:14" ht="15" customHeight="1" x14ac:dyDescent="0.35">
      <c r="A24" s="2" t="s">
        <v>25</v>
      </c>
      <c r="B24" s="12">
        <v>3</v>
      </c>
      <c r="C24" s="12">
        <v>13</v>
      </c>
      <c r="D24" s="13">
        <v>1</v>
      </c>
      <c r="E24" s="14">
        <f t="shared" si="0"/>
        <v>16</v>
      </c>
    </row>
    <row r="25" spans="1:14" ht="15" customHeight="1" x14ac:dyDescent="0.35">
      <c r="A25" s="6" t="s">
        <v>26</v>
      </c>
      <c r="B25" s="12">
        <v>3</v>
      </c>
      <c r="C25" s="12">
        <v>13</v>
      </c>
      <c r="D25" s="13">
        <v>1</v>
      </c>
      <c r="E25" s="14">
        <f t="shared" si="0"/>
        <v>16</v>
      </c>
    </row>
    <row r="26" spans="1:14" ht="15" customHeight="1" x14ac:dyDescent="0.35">
      <c r="A26" s="6" t="s">
        <v>27</v>
      </c>
      <c r="B26" s="12">
        <v>4</v>
      </c>
      <c r="C26" s="12">
        <v>12</v>
      </c>
      <c r="D26" s="13">
        <v>1</v>
      </c>
      <c r="E26" s="14">
        <f t="shared" si="0"/>
        <v>16</v>
      </c>
    </row>
    <row r="27" spans="1:14" ht="15" customHeight="1" x14ac:dyDescent="0.35">
      <c r="A27" s="6" t="s">
        <v>28</v>
      </c>
      <c r="B27" s="12">
        <v>5</v>
      </c>
      <c r="C27" s="12">
        <v>11</v>
      </c>
      <c r="D27" s="13">
        <v>1</v>
      </c>
      <c r="E27" s="14">
        <f t="shared" si="0"/>
        <v>16</v>
      </c>
    </row>
    <row r="28" spans="1:14" ht="15" customHeight="1" x14ac:dyDescent="0.35">
      <c r="A28" s="10" t="s">
        <v>29</v>
      </c>
      <c r="B28" s="15">
        <v>4</v>
      </c>
      <c r="C28" s="15">
        <v>13</v>
      </c>
      <c r="D28" s="16">
        <v>1</v>
      </c>
      <c r="E28" s="17">
        <f t="shared" si="0"/>
        <v>15</v>
      </c>
    </row>
  </sheetData>
  <sortState xmlns:xlrd2="http://schemas.microsoft.com/office/spreadsheetml/2017/richdata2" ref="A2:E28">
    <sortCondition descending="1" ref="E1:E28"/>
  </sortState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Balanced Student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Mantej Singh</dc:creator>
  <cp:keywords/>
  <dc:description/>
  <cp:lastModifiedBy>Mantej Singh</cp:lastModifiedBy>
  <cp:revision/>
  <dcterms:created xsi:type="dcterms:W3CDTF">2025-11-25T07:50:04Z</dcterms:created>
  <dcterms:modified xsi:type="dcterms:W3CDTF">2026-04-06T05:32:43Z</dcterms:modified>
  <cp:category/>
  <cp:contentStatus/>
</cp:coreProperties>
</file>